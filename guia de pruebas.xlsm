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3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4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5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drawings/drawing6.xml" ContentType="application/vnd.openxmlformats-officedocument.drawing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drawings/drawing7.xml" ContentType="application/vnd.openxmlformats-officedocument.drawing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moreno\Downloads\"/>
    </mc:Choice>
  </mc:AlternateContent>
  <xr:revisionPtr revIDLastSave="0" documentId="13_ncr:1_{FD82CDF5-6728-42DB-9179-8FA7CDD5F0A1}" xr6:coauthVersionLast="47" xr6:coauthVersionMax="47" xr10:uidLastSave="{00000000-0000-0000-0000-000000000000}"/>
  <bookViews>
    <workbookView xWindow="-110" yWindow="-110" windowWidth="19420" windowHeight="10420" tabRatio="831" activeTab="2" xr2:uid="{6C4C89A5-A364-4466-A3AB-D2D2AF8C692A}"/>
  </bookViews>
  <sheets>
    <sheet name="Bancos y listas" sheetId="1" r:id="rId1"/>
    <sheet name="Pruebas Est" sheetId="2" r:id="rId2"/>
    <sheet name="Pruebas Ing Simulado" sheetId="7" r:id="rId3"/>
    <sheet name="Prueba Ing BIN 42" sheetId="4" r:id="rId4"/>
    <sheet name="BAIO" sheetId="5" r:id="rId5"/>
    <sheet name="Incoming Asociados 45" sheetId="15" r:id="rId6"/>
    <sheet name="OUTGOING" sheetId="14" r:id="rId7"/>
    <sheet name="Prueba Simulador Amex" sheetId="26" r:id="rId8"/>
    <sheet name="VALIDAR PASOS A PRODUCCION" sheetId="23" r:id="rId9"/>
    <sheet name="Transferencia de archivos" sheetId="8" r:id="rId10"/>
    <sheet name="Pruebas de Interoperabilidad" sheetId="31" r:id="rId11"/>
    <sheet name="Fecha Juliana" sheetId="3" r:id="rId12"/>
    <sheet name="Tablas" sheetId="41" state="hidden" r:id="rId13"/>
    <sheet name="ADECUACION IMPLEMENT" sheetId="35" state="hidden" r:id="rId14"/>
    <sheet name="HORAS EXTRAS" sheetId="21" state="hidden" r:id="rId15"/>
    <sheet name="CREACION DE BINES" sheetId="27" state="hidden" r:id="rId16"/>
    <sheet name="ERRORES REPORTADOS SOP" sheetId="22" r:id="rId17"/>
    <sheet name="Actividades Diarias" sheetId="29" state="hidden" r:id="rId18"/>
    <sheet name="PROCESO INTEGRACION DE EPTASP" sheetId="38" r:id="rId19"/>
    <sheet name="Hoja1" sheetId="43" state="hidden" r:id="rId20"/>
    <sheet name="PARALELO CONTG." sheetId="42" r:id="rId21"/>
    <sheet name="Normalizacion TXS AMEX" sheetId="20" state="hidden" r:id="rId22"/>
  </sheets>
  <definedNames>
    <definedName name="_xlnm._FilterDatabase" localSheetId="4" hidden="1">BAIO!$A$1:$H$48</definedName>
    <definedName name="_xlnm._FilterDatabase" localSheetId="0" hidden="1">'Bancos y listas'!$A$1:$C$60</definedName>
    <definedName name="_xlnm._FilterDatabase" localSheetId="14" hidden="1">'HORAS EXTRAS'!$A$1:$K$42</definedName>
    <definedName name="NOMBRE_BANCO">'Bancos y listas'!$B$2:$B$73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29" i="23" l="1"/>
  <c r="G30" i="23"/>
  <c r="G31" i="23"/>
  <c r="G32" i="23"/>
  <c r="G33" i="23"/>
  <c r="G34" i="23"/>
  <c r="G35" i="23"/>
  <c r="G36" i="23"/>
  <c r="G37" i="23"/>
  <c r="G38" i="23"/>
  <c r="G39" i="23"/>
  <c r="G40" i="23"/>
  <c r="G41" i="23"/>
  <c r="G42" i="23"/>
  <c r="G43" i="23"/>
  <c r="G44" i="23"/>
  <c r="G45" i="23"/>
  <c r="G46" i="23"/>
  <c r="G47" i="23"/>
  <c r="G48" i="23"/>
  <c r="G49" i="23"/>
  <c r="G28" i="23"/>
  <c r="H99" i="7" l="1"/>
  <c r="G21" i="4"/>
  <c r="G134" i="4" l="1"/>
  <c r="B7" i="8"/>
  <c r="H38" i="21"/>
  <c r="E108" i="42"/>
  <c r="E107" i="42"/>
  <c r="E106" i="42"/>
  <c r="E105" i="42"/>
  <c r="E104" i="42"/>
  <c r="E103" i="42"/>
  <c r="E102" i="42"/>
  <c r="E101" i="42"/>
  <c r="E100" i="42"/>
  <c r="G7" i="42"/>
  <c r="G6" i="42"/>
  <c r="G5" i="42"/>
  <c r="G4" i="42"/>
  <c r="E96" i="42"/>
  <c r="E94" i="42"/>
  <c r="E92" i="42"/>
  <c r="E90" i="42"/>
  <c r="E77" i="42"/>
  <c r="E73" i="42"/>
  <c r="E65" i="42"/>
  <c r="E61" i="42"/>
  <c r="E69" i="42"/>
  <c r="E57" i="42"/>
  <c r="E47" i="42"/>
  <c r="E46" i="42"/>
  <c r="E45" i="42"/>
  <c r="E44" i="42"/>
  <c r="E43" i="42"/>
  <c r="E42" i="42"/>
  <c r="E41" i="42"/>
  <c r="E40" i="42"/>
  <c r="E39" i="42"/>
  <c r="E38" i="42"/>
  <c r="G34" i="42"/>
  <c r="G30" i="42"/>
  <c r="E52" i="42" s="1"/>
  <c r="B2" i="42"/>
  <c r="E32" i="42" s="1"/>
  <c r="G32" i="42" s="1"/>
  <c r="E53" i="42" s="1"/>
  <c r="E27" i="42"/>
  <c r="E25" i="42"/>
  <c r="G25" i="42" s="1"/>
  <c r="E51" i="42" s="1"/>
  <c r="E20" i="42"/>
  <c r="E13" i="42"/>
  <c r="E18" i="42"/>
  <c r="G18" i="42" s="1"/>
  <c r="E50" i="42" s="1"/>
  <c r="E11" i="42"/>
  <c r="G11" i="42" s="1"/>
  <c r="E49" i="42" s="1"/>
  <c r="E7" i="42"/>
  <c r="E6" i="42"/>
  <c r="E5" i="42"/>
  <c r="E4" i="42"/>
  <c r="H84" i="7"/>
  <c r="H64" i="7"/>
  <c r="H61" i="7"/>
  <c r="H60" i="7"/>
  <c r="I41" i="7"/>
  <c r="H36" i="7"/>
  <c r="H24" i="7"/>
  <c r="B11" i="7"/>
  <c r="H51" i="7" s="1"/>
  <c r="D3" i="7"/>
  <c r="C3" i="7"/>
  <c r="C21" i="7" s="1"/>
  <c r="B3" i="7"/>
  <c r="H41" i="7" l="1"/>
  <c r="B4" i="7"/>
  <c r="B21" i="7"/>
  <c r="D4" i="7"/>
  <c r="H78" i="7" s="1"/>
  <c r="D21" i="7"/>
  <c r="C4" i="7"/>
  <c r="H77" i="7" s="1"/>
  <c r="E63" i="42"/>
  <c r="E71" i="42"/>
  <c r="E79" i="42"/>
  <c r="H91" i="7"/>
  <c r="H45" i="7"/>
  <c r="H54" i="7"/>
  <c r="H55" i="7"/>
  <c r="H72" i="7" l="1"/>
  <c r="H7" i="7"/>
  <c r="H114" i="7"/>
  <c r="H113" i="7"/>
  <c r="H105" i="7"/>
  <c r="H104" i="7"/>
  <c r="H115" i="7"/>
  <c r="H116" i="7"/>
  <c r="H49" i="7"/>
  <c r="R2" i="1"/>
  <c r="I15" i="7"/>
  <c r="H81" i="7"/>
  <c r="I16" i="7"/>
  <c r="H76" i="7"/>
  <c r="H90" i="7"/>
  <c r="H82" i="7"/>
  <c r="H50" i="7"/>
  <c r="H92" i="7"/>
  <c r="H52" i="7"/>
  <c r="H89" i="7"/>
  <c r="H83" i="7"/>
  <c r="H53" i="7"/>
  <c r="H88" i="7"/>
  <c r="H85" i="7"/>
  <c r="H103" i="7"/>
  <c r="H106" i="7"/>
  <c r="H74" i="7"/>
  <c r="H15" i="7"/>
  <c r="H43" i="7"/>
  <c r="H47" i="7"/>
  <c r="R4" i="1"/>
  <c r="H70" i="7"/>
  <c r="H42" i="7"/>
  <c r="H46" i="7"/>
  <c r="H73" i="7"/>
  <c r="H11" i="7"/>
  <c r="R3" i="1"/>
  <c r="H110" i="7"/>
  <c r="H111" i="7"/>
  <c r="H109" i="7"/>
  <c r="H108" i="7"/>
  <c r="B11" i="2"/>
  <c r="L39" i="21" l="1"/>
  <c r="K39" i="21"/>
  <c r="G39" i="21" s="1"/>
  <c r="F41" i="21"/>
  <c r="J38" i="21"/>
  <c r="I38" i="21"/>
  <c r="G38" i="21"/>
  <c r="H85" i="2"/>
  <c r="K40" i="21" l="1"/>
  <c r="H23" i="2"/>
  <c r="D3" i="2"/>
  <c r="D4" i="2" s="1"/>
  <c r="H42" i="2" s="1"/>
  <c r="C3" i="2"/>
  <c r="C4" i="2" s="1"/>
  <c r="Q3" i="1" l="1"/>
  <c r="H41" i="2"/>
  <c r="Q4" i="1"/>
  <c r="H11" i="2"/>
  <c r="H72" i="2"/>
  <c r="H45" i="2"/>
  <c r="H14" i="2"/>
  <c r="H46" i="2"/>
  <c r="H73" i="2"/>
  <c r="G36" i="4"/>
  <c r="H35" i="2" l="1"/>
  <c r="I40" i="2" l="1"/>
  <c r="F41" i="26"/>
  <c r="F40" i="26"/>
  <c r="F39" i="26"/>
  <c r="F38" i="26"/>
  <c r="F37" i="26"/>
  <c r="F36" i="26"/>
  <c r="F35" i="26"/>
  <c r="G28" i="26"/>
  <c r="F30" i="26"/>
  <c r="H30" i="14"/>
  <c r="H30" i="15"/>
  <c r="H132" i="15"/>
  <c r="H129" i="15"/>
  <c r="H144" i="4"/>
  <c r="H150" i="4"/>
  <c r="G125" i="15"/>
  <c r="G110" i="15"/>
  <c r="H36" i="4"/>
  <c r="G23" i="4"/>
  <c r="H59" i="2"/>
  <c r="H60" i="2"/>
  <c r="H63" i="2"/>
  <c r="G158" i="4" l="1"/>
  <c r="G22" i="4" l="1"/>
  <c r="G126" i="4" l="1"/>
  <c r="G129" i="4"/>
  <c r="G128" i="4"/>
  <c r="L14" i="35"/>
  <c r="L13" i="35"/>
  <c r="M14" i="35"/>
  <c r="N14" i="35"/>
  <c r="O14" i="35"/>
  <c r="H54" i="2" l="1"/>
  <c r="H53" i="2"/>
  <c r="H50" i="2"/>
  <c r="G48" i="15" l="1"/>
  <c r="G49" i="15"/>
  <c r="M13" i="35"/>
  <c r="K13" i="35"/>
  <c r="N13" i="35" s="1"/>
  <c r="O13" i="35" l="1"/>
  <c r="M4" i="35"/>
  <c r="M5" i="35"/>
  <c r="M6" i="35"/>
  <c r="M7" i="35"/>
  <c r="M8" i="35"/>
  <c r="M9" i="35"/>
  <c r="M10" i="35"/>
  <c r="M11" i="35"/>
  <c r="M12" i="35"/>
  <c r="M3" i="35"/>
  <c r="O5" i="35"/>
  <c r="K4" i="35"/>
  <c r="N4" i="35" s="1"/>
  <c r="K5" i="35"/>
  <c r="N5" i="35" s="1"/>
  <c r="K6" i="35"/>
  <c r="L6" i="35" s="1"/>
  <c r="K7" i="35"/>
  <c r="L7" i="35" s="1"/>
  <c r="K8" i="35"/>
  <c r="N8" i="35" s="1"/>
  <c r="K9" i="35"/>
  <c r="N9" i="35" s="1"/>
  <c r="K10" i="35"/>
  <c r="L10" i="35" s="1"/>
  <c r="K11" i="35"/>
  <c r="L11" i="35" s="1"/>
  <c r="K12" i="35"/>
  <c r="N12" i="35" s="1"/>
  <c r="K3" i="35"/>
  <c r="L3" i="35" s="1"/>
  <c r="L4" i="35"/>
  <c r="L5" i="35"/>
  <c r="L12" i="35"/>
  <c r="O9" i="35" l="1"/>
  <c r="L8" i="35"/>
  <c r="O4" i="35"/>
  <c r="L9" i="35"/>
  <c r="N11" i="35"/>
  <c r="O8" i="35"/>
  <c r="O3" i="35"/>
  <c r="O12" i="35"/>
  <c r="N10" i="35"/>
  <c r="O7" i="35"/>
  <c r="O6" i="35"/>
  <c r="N7" i="35"/>
  <c r="N6" i="35"/>
  <c r="O11" i="35"/>
  <c r="N3" i="35"/>
  <c r="O10" i="35"/>
  <c r="G108" i="15" l="1"/>
  <c r="E33" i="8" l="1"/>
  <c r="B1" i="20" l="1"/>
  <c r="E8" i="20" s="1"/>
  <c r="J40" i="21"/>
  <c r="J41" i="21" s="1"/>
  <c r="B15" i="21"/>
  <c r="B14" i="21"/>
  <c r="B13" i="21"/>
  <c r="B12" i="21"/>
  <c r="B11" i="21"/>
  <c r="B10" i="21"/>
  <c r="B9" i="21"/>
  <c r="B8" i="21"/>
  <c r="B7" i="21"/>
  <c r="B6" i="21"/>
  <c r="B5" i="21"/>
  <c r="B4" i="21"/>
  <c r="B3" i="21"/>
  <c r="B2" i="21"/>
  <c r="G17" i="23"/>
  <c r="G16" i="23"/>
  <c r="G15" i="23"/>
  <c r="G14" i="23"/>
  <c r="G13" i="23"/>
  <c r="G12" i="23"/>
  <c r="G11" i="23"/>
  <c r="G10" i="23"/>
  <c r="G9" i="23"/>
  <c r="G8" i="23"/>
  <c r="G7" i="23"/>
  <c r="G6" i="23"/>
  <c r="G5" i="23"/>
  <c r="G4" i="23"/>
  <c r="G3" i="23"/>
  <c r="G2" i="23"/>
  <c r="F90" i="26"/>
  <c r="F83" i="26"/>
  <c r="F72" i="26"/>
  <c r="F70" i="26"/>
  <c r="F50" i="26"/>
  <c r="F47" i="26"/>
  <c r="F46" i="26"/>
  <c r="B11" i="26"/>
  <c r="B3" i="26"/>
  <c r="B4" i="26" s="1"/>
  <c r="F28" i="26" s="1"/>
  <c r="G132" i="14"/>
  <c r="G131" i="14"/>
  <c r="G126" i="14"/>
  <c r="G124" i="14"/>
  <c r="G104" i="14"/>
  <c r="G97" i="14"/>
  <c r="G96" i="14"/>
  <c r="G94" i="14"/>
  <c r="G93" i="14"/>
  <c r="G82" i="14"/>
  <c r="G80" i="14"/>
  <c r="G71" i="14"/>
  <c r="G62" i="14"/>
  <c r="G60" i="14"/>
  <c r="G52" i="14"/>
  <c r="G48" i="14"/>
  <c r="B11" i="14"/>
  <c r="B3" i="14"/>
  <c r="F13" i="31"/>
  <c r="B11" i="31"/>
  <c r="F6" i="31" s="1"/>
  <c r="B3" i="31"/>
  <c r="B4" i="31" s="1"/>
  <c r="F14" i="27"/>
  <c r="B12" i="27"/>
  <c r="B11" i="27"/>
  <c r="B10" i="27"/>
  <c r="F9" i="27" s="1"/>
  <c r="B3" i="27"/>
  <c r="B4" i="27" s="1"/>
  <c r="E31" i="8"/>
  <c r="E21" i="8"/>
  <c r="E12" i="8"/>
  <c r="J155" i="4"/>
  <c r="G155" i="4"/>
  <c r="J154" i="4"/>
  <c r="G154" i="4"/>
  <c r="G127" i="4"/>
  <c r="G118" i="4"/>
  <c r="G117" i="4"/>
  <c r="G116" i="4"/>
  <c r="G115" i="4"/>
  <c r="G114" i="4"/>
  <c r="G112" i="4"/>
  <c r="G111" i="4"/>
  <c r="G110" i="4"/>
  <c r="G109" i="4"/>
  <c r="G108" i="4"/>
  <c r="G102" i="4"/>
  <c r="G100" i="4"/>
  <c r="G88" i="4"/>
  <c r="G86" i="4"/>
  <c r="G77" i="4"/>
  <c r="G68" i="4"/>
  <c r="G60" i="4"/>
  <c r="G57" i="4"/>
  <c r="G56" i="4"/>
  <c r="B16" i="4"/>
  <c r="G163" i="4" s="1"/>
  <c r="B11" i="4"/>
  <c r="B3" i="4"/>
  <c r="B4" i="4" s="1"/>
  <c r="B3" i="2"/>
  <c r="B4" i="2" s="1"/>
  <c r="H40" i="2" s="1"/>
  <c r="G133" i="15"/>
  <c r="G119" i="15"/>
  <c r="G117" i="15"/>
  <c r="G113" i="15"/>
  <c r="G112" i="15"/>
  <c r="G107" i="15"/>
  <c r="G102" i="15"/>
  <c r="G100" i="15"/>
  <c r="G91" i="15"/>
  <c r="G82" i="15"/>
  <c r="G52" i="15"/>
  <c r="B21" i="15"/>
  <c r="B11" i="15"/>
  <c r="B3" i="15"/>
  <c r="B4" i="15" s="1"/>
  <c r="H7" i="2" l="1"/>
  <c r="H77" i="2"/>
  <c r="H76" i="2"/>
  <c r="H84" i="2"/>
  <c r="H83" i="2"/>
  <c r="H82" i="2"/>
  <c r="H78" i="2"/>
  <c r="Q2" i="1"/>
  <c r="G40" i="21"/>
  <c r="H40" i="21"/>
  <c r="H41" i="21" s="1"/>
  <c r="I40" i="21"/>
  <c r="I41" i="21" s="1"/>
  <c r="G41" i="21"/>
  <c r="G43" i="14"/>
  <c r="G42" i="14"/>
  <c r="G39" i="14"/>
  <c r="H49" i="2"/>
  <c r="H79" i="2"/>
  <c r="H69" i="2"/>
  <c r="H44" i="2"/>
  <c r="G30" i="15"/>
  <c r="G144" i="4"/>
  <c r="G152" i="4"/>
  <c r="G150" i="4"/>
  <c r="F9" i="26"/>
  <c r="F5" i="26"/>
  <c r="G134" i="15"/>
  <c r="G132" i="15"/>
  <c r="G129" i="15"/>
  <c r="G43" i="15"/>
  <c r="G42" i="15"/>
  <c r="G39" i="15"/>
  <c r="G41" i="15"/>
  <c r="G37" i="15"/>
  <c r="G40" i="15"/>
  <c r="G38" i="15"/>
  <c r="G20" i="15"/>
  <c r="G6" i="15"/>
  <c r="G2" i="15"/>
  <c r="G49" i="4"/>
  <c r="G48" i="4"/>
  <c r="G46" i="4"/>
  <c r="G45" i="4"/>
  <c r="G51" i="4"/>
  <c r="G50" i="4"/>
  <c r="G47" i="4"/>
  <c r="F5" i="27"/>
  <c r="G145" i="4"/>
  <c r="G17" i="4"/>
  <c r="G27" i="4"/>
  <c r="G64" i="15"/>
  <c r="G63" i="15"/>
  <c r="G74" i="15"/>
  <c r="G70" i="15"/>
  <c r="G131" i="15"/>
  <c r="G60" i="15"/>
  <c r="G32" i="15"/>
  <c r="G67" i="15"/>
  <c r="G62" i="15"/>
  <c r="G128" i="15"/>
  <c r="G68" i="15"/>
  <c r="G58" i="15"/>
  <c r="G66" i="15"/>
  <c r="G151" i="4"/>
  <c r="G147" i="4"/>
  <c r="G66" i="4"/>
  <c r="G157" i="4"/>
  <c r="G143" i="4"/>
  <c r="G142" i="4"/>
  <c r="G149" i="4"/>
  <c r="G141" i="4"/>
  <c r="G148" i="4"/>
  <c r="G138" i="4"/>
  <c r="G140" i="4"/>
  <c r="F66" i="26"/>
  <c r="F58" i="26"/>
  <c r="F65" i="26"/>
  <c r="F82" i="26"/>
  <c r="F64" i="26"/>
  <c r="F56" i="26"/>
  <c r="F96" i="26"/>
  <c r="F62" i="26"/>
  <c r="F94" i="26"/>
  <c r="F61" i="26"/>
  <c r="F92" i="26"/>
  <c r="F60" i="26"/>
  <c r="B4" i="14"/>
  <c r="G38" i="4"/>
  <c r="F13" i="27"/>
  <c r="F4" i="27"/>
  <c r="F7" i="27"/>
  <c r="F17" i="27"/>
  <c r="F12" i="27"/>
  <c r="F8" i="27"/>
  <c r="F10" i="27"/>
  <c r="F6" i="27"/>
  <c r="G136" i="15"/>
  <c r="G165" i="4"/>
  <c r="F16" i="27"/>
  <c r="E6" i="20"/>
  <c r="G42" i="21" l="1"/>
  <c r="G44" i="21" s="1"/>
  <c r="G30" i="14"/>
  <c r="G38" i="14"/>
  <c r="G37" i="14"/>
  <c r="G9" i="14"/>
  <c r="G5" i="14"/>
  <c r="G41" i="14"/>
  <c r="G40" i="14"/>
  <c r="H94" i="2"/>
  <c r="H71" i="2"/>
  <c r="H48" i="2"/>
  <c r="H92" i="2"/>
  <c r="H51" i="2"/>
  <c r="H52" i="2"/>
  <c r="I14" i="2"/>
  <c r="I15" i="2"/>
  <c r="H95" i="2"/>
  <c r="H93" i="2"/>
  <c r="G32" i="14"/>
  <c r="G58" i="14"/>
  <c r="G43" i="21" l="1"/>
  <c r="G45" i="21" s="1"/>
</calcChain>
</file>

<file path=xl/sharedStrings.xml><?xml version="1.0" encoding="utf-8"?>
<sst xmlns="http://schemas.openxmlformats.org/spreadsheetml/2006/main" count="2021" uniqueCount="861">
  <si>
    <t>BOGOTA</t>
  </si>
  <si>
    <t>POPULA</t>
  </si>
  <si>
    <t>POPULAR</t>
  </si>
  <si>
    <t>BANCOL</t>
  </si>
  <si>
    <t>BANCOLOMBIA</t>
  </si>
  <si>
    <t>GRANBA</t>
  </si>
  <si>
    <t>GRANBANCO</t>
  </si>
  <si>
    <t>CORPBA</t>
  </si>
  <si>
    <t>CORPBANCA</t>
  </si>
  <si>
    <t>AMEX</t>
  </si>
  <si>
    <t>BANCOL AMEX</t>
  </si>
  <si>
    <t>COOPCE</t>
  </si>
  <si>
    <t>COOPCENTRAL</t>
  </si>
  <si>
    <t>CITIBA</t>
  </si>
  <si>
    <t>CITIBANK</t>
  </si>
  <si>
    <t>HSBC</t>
  </si>
  <si>
    <t>GNB</t>
  </si>
  <si>
    <t>GNB SUDAM.</t>
  </si>
  <si>
    <t>BBVA</t>
  </si>
  <si>
    <t>ITAU</t>
  </si>
  <si>
    <t>BANCO ITAU</t>
  </si>
  <si>
    <t>CONCOL</t>
  </si>
  <si>
    <t>CON_COLPATRI</t>
  </si>
  <si>
    <t>COLPA</t>
  </si>
  <si>
    <t>COLPATRIA</t>
  </si>
  <si>
    <t>OCCIDE</t>
  </si>
  <si>
    <t>OCCIDENTE</t>
  </si>
  <si>
    <t>TECNIP</t>
  </si>
  <si>
    <t>TECNIPAGOS</t>
  </si>
  <si>
    <t>DING</t>
  </si>
  <si>
    <t>DING_ADQ</t>
  </si>
  <si>
    <t>C.SOC.</t>
  </si>
  <si>
    <t>CAJA SOCIAL</t>
  </si>
  <si>
    <t>DAVIVI</t>
  </si>
  <si>
    <t>COLTEF</t>
  </si>
  <si>
    <t>COLTEFINANCI</t>
  </si>
  <si>
    <t>ICF</t>
  </si>
  <si>
    <t>AGRARI</t>
  </si>
  <si>
    <t>AGRARIO</t>
  </si>
  <si>
    <t>COMULT</t>
  </si>
  <si>
    <t>COMULTRASAN</t>
  </si>
  <si>
    <t>CREDIF</t>
  </si>
  <si>
    <t>CREDIFINANC.</t>
  </si>
  <si>
    <t>CREDIV</t>
  </si>
  <si>
    <t>CREDIVALORES</t>
  </si>
  <si>
    <t>JURISC</t>
  </si>
  <si>
    <t>JURISCOOP</t>
  </si>
  <si>
    <t>AVVILL</t>
  </si>
  <si>
    <t>AV VILLAS</t>
  </si>
  <si>
    <t>FINAND</t>
  </si>
  <si>
    <t>FINANDINA</t>
  </si>
  <si>
    <t>B.PICH</t>
  </si>
  <si>
    <t>B. PICHINCHA</t>
  </si>
  <si>
    <t>RIPLEY</t>
  </si>
  <si>
    <t>DINNER</t>
  </si>
  <si>
    <t>DINNERS</t>
  </si>
  <si>
    <t>FALABE</t>
  </si>
  <si>
    <t>FALABELLA</t>
  </si>
  <si>
    <t>COOMEV</t>
  </si>
  <si>
    <t>COOMEVA</t>
  </si>
  <si>
    <t>EXITO</t>
  </si>
  <si>
    <t>EXITO LATUYA</t>
  </si>
  <si>
    <t>REDEBA</t>
  </si>
  <si>
    <t>REDEBAN</t>
  </si>
  <si>
    <t>SERVIB</t>
  </si>
  <si>
    <t>SERVIBANCA</t>
  </si>
  <si>
    <t>EXPRES</t>
  </si>
  <si>
    <t>EXPRESCO</t>
  </si>
  <si>
    <t>VISAOR</t>
  </si>
  <si>
    <t>VISA O.RED</t>
  </si>
  <si>
    <t>PROMOC</t>
  </si>
  <si>
    <t>PROM.ELECTRO</t>
  </si>
  <si>
    <t>COVICH</t>
  </si>
  <si>
    <t>COVICHEQUE</t>
  </si>
  <si>
    <t>FENALC</t>
  </si>
  <si>
    <t>FENALCHEQUE</t>
  </si>
  <si>
    <t>POLAR</t>
  </si>
  <si>
    <t>LAPOLAR</t>
  </si>
  <si>
    <t>ASSEND</t>
  </si>
  <si>
    <t>ASSENDA</t>
  </si>
  <si>
    <t>DIVERC</t>
  </si>
  <si>
    <t>DIVERCITY</t>
  </si>
  <si>
    <t>BONO R</t>
  </si>
  <si>
    <t>BONO REGALO</t>
  </si>
  <si>
    <t>ELTIEM</t>
  </si>
  <si>
    <t>EL TIEMPO</t>
  </si>
  <si>
    <t>GLOBAL</t>
  </si>
  <si>
    <t>GLOBALTEX</t>
  </si>
  <si>
    <t>ISERRA</t>
  </si>
  <si>
    <t>OLIMPI</t>
  </si>
  <si>
    <t>OLIMPICA</t>
  </si>
  <si>
    <t>CREDIB</t>
  </si>
  <si>
    <t>CREDIBANCO</t>
  </si>
  <si>
    <t>AEGN</t>
  </si>
  <si>
    <t>AMER.EXPR.GN</t>
  </si>
  <si>
    <t>VISA E</t>
  </si>
  <si>
    <t>VISA ELECTR.</t>
  </si>
  <si>
    <t>VISA M</t>
  </si>
  <si>
    <t>VISA MANUAL</t>
  </si>
  <si>
    <t>VISA T</t>
  </si>
  <si>
    <t>VISA TLF 4PM</t>
  </si>
  <si>
    <t>COMPUT</t>
  </si>
  <si>
    <t>COMPUTEC</t>
  </si>
  <si>
    <t>ENTIDAD</t>
  </si>
  <si>
    <t>COD_COM</t>
  </si>
  <si>
    <t>CD 
BCO</t>
  </si>
  <si>
    <t>NOMBRE
ABREV.</t>
  </si>
  <si>
    <t xml:space="preserve">NOMBRE
EXT.- </t>
  </si>
  <si>
    <t>FECHA</t>
  </si>
  <si>
    <t xml:space="preserve">SUBIR ARCHIVO(S) A AS-400 </t>
  </si>
  <si>
    <t>CLRPFM FILE(SWITCH/SWFOPERA)</t>
  </si>
  <si>
    <t>CLRPFM FILE(SWITCH/SWFCAJ01)</t>
  </si>
  <si>
    <t>CLRPFM FILE(ELECTRON/CEF0500A)</t>
  </si>
  <si>
    <t>CLRPFM FILE(CANJE/CAFRPREDB)</t>
  </si>
  <si>
    <t>CLRPFM FILE(BASEDOS/BAF0172C)</t>
  </si>
  <si>
    <t>WRKF FILE(SWITCH/SWFEXTRA)</t>
  </si>
  <si>
    <t>STRSQL</t>
  </si>
  <si>
    <t>BIN 2</t>
  </si>
  <si>
    <t>BIN 1</t>
  </si>
  <si>
    <t>BIN 3</t>
  </si>
  <si>
    <t>BIN 4</t>
  </si>
  <si>
    <t>BIN 5</t>
  </si>
  <si>
    <t>BIN UN</t>
  </si>
  <si>
    <t>CALL PGM(ESTABLE/ESCONSUL) ---OPC</t>
  </si>
  <si>
    <t>UPDDTA BODEGATMP/CAFCNTRLYS</t>
  </si>
  <si>
    <t>CPYF FROMFILE(BODEGATMP/CAFCNTRLYS) TOFILE(CANJE/CAFCNTRL) MBROPT(*ADD)</t>
  </si>
  <si>
    <t>AAAAMMDD</t>
  </si>
  <si>
    <t>CALL BASEDOS/CAC0700S</t>
  </si>
  <si>
    <t>CALL QCMD</t>
  </si>
  <si>
    <t>EXXT</t>
  </si>
  <si>
    <t>CAET</t>
  </si>
  <si>
    <t>DEPO</t>
  </si>
  <si>
    <t>CAIT SIMULADO</t>
  </si>
  <si>
    <t>CAIT CON INCOMING</t>
  </si>
  <si>
    <t>FORMATO</t>
  </si>
  <si>
    <t>DATA</t>
  </si>
  <si>
    <t>ENCABEZADO</t>
  </si>
  <si>
    <t>Limpiar Archivos de trabajo</t>
  </si>
  <si>
    <t>Transfer</t>
  </si>
  <si>
    <t>Limpiar archivos de proceso</t>
  </si>
  <si>
    <t>Revision de archivo de trabajo</t>
  </si>
  <si>
    <t>Copia desde archivos de trabajo a archivos de proceso</t>
  </si>
  <si>
    <t>Validar existencia de BIN</t>
  </si>
  <si>
    <t>Validar banco adquirente</t>
  </si>
  <si>
    <t>Revision y adicion de fecha a archivo de control</t>
  </si>
  <si>
    <t>VALIDAR QUE EXISTA LA FECHA DEL DIA SIGUIENTE AL DEL ARCHIVO EPTA O ADICIONARLA</t>
  </si>
  <si>
    <t>EPTA</t>
  </si>
  <si>
    <t>EASV</t>
  </si>
  <si>
    <t>EXAX</t>
  </si>
  <si>
    <t>Cambiar fecha a la sesion</t>
  </si>
  <si>
    <t>Ambientar</t>
  </si>
  <si>
    <t>Proceso</t>
  </si>
  <si>
    <t>Revision de archivos resultantes</t>
  </si>
  <si>
    <t>Envio de archivos a GAW</t>
  </si>
  <si>
    <t>BAFCNTR2</t>
  </si>
  <si>
    <t>BAFCNTRL</t>
  </si>
  <si>
    <t>BAF0401H</t>
  </si>
  <si>
    <t>FECHA EPTA</t>
  </si>
  <si>
    <t>Dia Incoming</t>
  </si>
  <si>
    <t>SAVF de trabajo</t>
  </si>
  <si>
    <t>PASEN</t>
  </si>
  <si>
    <t>Biblioteca SAVF</t>
  </si>
  <si>
    <t>BODEGATMP</t>
  </si>
  <si>
    <t>PRODUCCION</t>
  </si>
  <si>
    <t>TESTQA</t>
  </si>
  <si>
    <t>Proceso DEPO EXTT CAET</t>
  </si>
  <si>
    <t>CPYF FROMFILE(BODEGATMP/BAFCNTR2) TOFILE(BASEDOS/BAFCNTR2) MBROPT(*REPLACE) FMTOPT(*NOCHK)</t>
  </si>
  <si>
    <t>CPYF FROMFILE(BODEGATMP/BAFCNTRL) TOFILE(BASEDOS/BAFCNTRL) MBROPT(*REPLACE) FMTOPT(*NOCHK)</t>
  </si>
  <si>
    <t>CPYF FROMFILE(BODEGATMP/BAF0401H) TOFILE(BASEDOS/BAF0401H) MBROPT(*REPLACE) FMTOPT(*NOCHK)</t>
  </si>
  <si>
    <t>CPYF FROMFILE(BODEGATMP/VDF0801H) TOFILE(BASEDOS/VDF0801H) MBROPT(*REPLACE) FMTOPT(*NOCHK)</t>
  </si>
  <si>
    <t>CPYF FROMFILE(BODEGATMP/VDFCNTR0) TOFILE(BASEDOS/VDFCNTR0) MBROPT(*REPLACE) FMTOPT(*NOCHK)</t>
  </si>
  <si>
    <t>VDF0801H</t>
  </si>
  <si>
    <t>VDFCNTR0</t>
  </si>
  <si>
    <t>restaurar archivos en TESQA</t>
  </si>
  <si>
    <t>Copy desde BODEGATMP a BASEDOS</t>
  </si>
  <si>
    <t>CALL SISTEMAS/ESR0244</t>
  </si>
  <si>
    <t>Parar cortes</t>
  </si>
  <si>
    <t>SIGNOFF</t>
  </si>
  <si>
    <t>Cambiar Fecha de Sistema</t>
  </si>
  <si>
    <t>Cambiar Fecha DTAARA</t>
  </si>
  <si>
    <t>CERRAR SESION</t>
  </si>
  <si>
    <t>Borrar Archivos de control</t>
  </si>
  <si>
    <t>CALL PGM(ESTABLE/ESCONSUL)</t>
  </si>
  <si>
    <t>BIBLIOTECA ORIGEN</t>
  </si>
  <si>
    <t>ARCHIVO ORIGEN</t>
  </si>
  <si>
    <t>BIBLIOTECA DESTINO</t>
  </si>
  <si>
    <t>ARCHIVO DESTINO</t>
  </si>
  <si>
    <t>BASEDOS</t>
  </si>
  <si>
    <t>revisar Archivos de control</t>
  </si>
  <si>
    <t>CLRPFM FILE(BASEDOS/VDF0500A)</t>
  </si>
  <si>
    <t>CLRPFM  FILE(BASEDOS/INITF2D)</t>
  </si>
  <si>
    <t>CLRPFM  FILE(BASEDOS/INITF1D)</t>
  </si>
  <si>
    <t>Solo en caso de ya procesado - borrar las fechas ya procesadas</t>
  </si>
  <si>
    <t>Ejecutar proceso de Incoming</t>
  </si>
  <si>
    <t>OPC 1</t>
  </si>
  <si>
    <t>OPC 1,2,3 COMPLETAS</t>
  </si>
  <si>
    <t>OPC 3 IGNORAR ERROR</t>
  </si>
  <si>
    <t>Envió de archivos a GAW</t>
  </si>
  <si>
    <t>Prueba Estándar</t>
  </si>
  <si>
    <t>Revisión y adición de fecha a archivo de control</t>
  </si>
  <si>
    <t>Cambiar fecha a la sesión</t>
  </si>
  <si>
    <t>Salvar Archivos desde producción</t>
  </si>
  <si>
    <t>Revisión y cambio de extracto</t>
  </si>
  <si>
    <t>BAI0483A</t>
  </si>
  <si>
    <t>BAI0485A</t>
  </si>
  <si>
    <t>BANCO</t>
  </si>
  <si>
    <t>FECHA INCOMING</t>
  </si>
  <si>
    <t>BIN MIEMBRO</t>
  </si>
  <si>
    <t>INARCH</t>
  </si>
  <si>
    <t>Usuario:</t>
  </si>
  <si>
    <t>SSHDUSR</t>
  </si>
  <si>
    <t xml:space="preserve">Clave: </t>
  </si>
  <si>
    <t>crediban</t>
  </si>
  <si>
    <t xml:space="preserve">Call qp2term  </t>
  </si>
  <si>
    <t>&lt;Enter&gt;</t>
  </si>
  <si>
    <t xml:space="preserve">export DISPLAY= SSH_ASKPASS=/home/sshdusr/openssh_password_script.sh  </t>
  </si>
  <si>
    <t xml:space="preserve">sftp transf400@PRCOBO008 </t>
  </si>
  <si>
    <t>Recepcion:</t>
  </si>
  <si>
    <t>Archivo 1</t>
  </si>
  <si>
    <t>Archivo 2</t>
  </si>
  <si>
    <t>Archivo 3</t>
  </si>
  <si>
    <t>Archivo 4</t>
  </si>
  <si>
    <t>Archivo 5</t>
  </si>
  <si>
    <t>Archivo 8</t>
  </si>
  <si>
    <t>OPERACION</t>
  </si>
  <si>
    <t>Parametros</t>
  </si>
  <si>
    <t>Envio PRODUCCION:</t>
  </si>
  <si>
    <t>Produccion</t>
  </si>
  <si>
    <t>UsuarioTESTQA:</t>
  </si>
  <si>
    <t xml:space="preserve">Clave TESTQA: </t>
  </si>
  <si>
    <t>Parametros TESTQA</t>
  </si>
  <si>
    <t>Recepcion TESTQA:</t>
  </si>
  <si>
    <t>Usuario PRODUCCION:</t>
  </si>
  <si>
    <t xml:space="preserve">Clave PRODUCCION: </t>
  </si>
  <si>
    <t>Parametros PRODUCCION</t>
  </si>
  <si>
    <t>F0485A0105</t>
  </si>
  <si>
    <t>F0483A0105</t>
  </si>
  <si>
    <t>F0485A0104</t>
  </si>
  <si>
    <t>F0483A0104</t>
  </si>
  <si>
    <t>F0485A0103</t>
  </si>
  <si>
    <t>F0483A0103</t>
  </si>
  <si>
    <t>Pruebas Incoming</t>
  </si>
  <si>
    <t>Biblioteca</t>
  </si>
  <si>
    <t>FAI0483A23</t>
  </si>
  <si>
    <t>FAI0485A23</t>
  </si>
  <si>
    <t>F0483A0110</t>
  </si>
  <si>
    <t>F0485A0110</t>
  </si>
  <si>
    <t>FILTRO</t>
  </si>
  <si>
    <t>Archivo 6</t>
  </si>
  <si>
    <t>FBAI0483ANE</t>
  </si>
  <si>
    <t>FBAI0485ANE</t>
  </si>
  <si>
    <t>BAI483A</t>
  </si>
  <si>
    <t>BAI485A</t>
  </si>
  <si>
    <t>BK BAI483</t>
  </si>
  <si>
    <t>BK BAI485</t>
  </si>
  <si>
    <t xml:space="preserve">CPYF FROMFILE(INARCH/BAI0483A) TOFILE(INARCH/BAI483) MBROPT(*REPLACE) CRT
FILE(*YES) FMTOPT(*NOCHK)                                                </t>
  </si>
  <si>
    <t xml:space="preserve">CPYF FROMFILE(INARCH/BAI0485A) TOFILE(INARCH/BAI485) MBROPT(*REPLACE) CRT
FILE(*YES) FMTOPT(*NOCHK)                                                </t>
  </si>
  <si>
    <t>BAI483</t>
  </si>
  <si>
    <t>AVVILLAS</t>
  </si>
  <si>
    <t>F0485A5221</t>
  </si>
  <si>
    <t>F0483A5221</t>
  </si>
  <si>
    <t>GAW</t>
  </si>
  <si>
    <t>NGARNICA</t>
  </si>
  <si>
    <t>Fecha de ejecucion prueba</t>
  </si>
  <si>
    <t>Borrar Registro de control Dias superior a ejecucion de prueba</t>
  </si>
  <si>
    <t>Cambio Outgoin Miembro principal</t>
  </si>
  <si>
    <t>Cambio Outgoin Miembro Asociado</t>
  </si>
  <si>
    <t>Llamado BAR0101</t>
  </si>
  <si>
    <t>CALL BASEDOS/BAR0101</t>
  </si>
  <si>
    <t>Buscar archivo Insumo Outgoing</t>
  </si>
  <si>
    <t>Salvar Archivos desde PRODUCCION</t>
  </si>
  <si>
    <t>Colocar valor de Dólar en BAR0101</t>
  </si>
  <si>
    <t>Numero de Movimientos = 01</t>
  </si>
  <si>
    <t xml:space="preserve">Fecha de cambio Venta = Valor Dólar BAFCNTRL </t>
  </si>
  <si>
    <t xml:space="preserve">Fecha de cambio Compra = Valor Dólar BAFCNTRL </t>
  </si>
  <si>
    <t>&lt;F10&gt;</t>
  </si>
  <si>
    <t>Llamada BAR0104</t>
  </si>
  <si>
    <t>Revision de EPTA en SWFEXTRA</t>
  </si>
  <si>
    <t>Llamado BACO0500</t>
  </si>
  <si>
    <t>Validar que el archivo sea:</t>
  </si>
  <si>
    <t>Ejecutar BACO05500</t>
  </si>
  <si>
    <t>Pruebas Outgoing</t>
  </si>
  <si>
    <t>Ejecutar</t>
  </si>
  <si>
    <t>Llamado BACU0503</t>
  </si>
  <si>
    <t>Llamado BACU0504</t>
  </si>
  <si>
    <t>Validar archivos En Edit Package</t>
  </si>
  <si>
    <t>EP40 /C424994/OUTGOING : OUTCTF</t>
  </si>
  <si>
    <t>Ejecutar Outgoin Edit Package</t>
  </si>
  <si>
    <t>Outgoing</t>
  </si>
  <si>
    <t>Star Outgoing Edit Run</t>
  </si>
  <si>
    <t>Add User CTF</t>
  </si>
  <si>
    <t>Seleccionar OUTCTF</t>
  </si>
  <si>
    <t>&lt;Open&gt;</t>
  </si>
  <si>
    <t>&lt;Star Run&gt;</t>
  </si>
  <si>
    <t>Validar 0 Errores</t>
  </si>
  <si>
    <t>&lt;Save ITF&gt;</t>
  </si>
  <si>
    <t>Seleccionar EPOUT.TXT</t>
  </si>
  <si>
    <t>&lt;SAVE&gt;</t>
  </si>
  <si>
    <t>&lt;CLOSE&gt;</t>
  </si>
  <si>
    <t>&lt;DONE&gt;</t>
  </si>
  <si>
    <t>Transferir Outgoing</t>
  </si>
  <si>
    <t>Transfer File to secure EAS</t>
  </si>
  <si>
    <t>Seleccionar archivo</t>
  </si>
  <si>
    <t>&lt;Transfer&gt;</t>
  </si>
  <si>
    <t>Tomar Print</t>
  </si>
  <si>
    <t>Revisar REPORTES/OUTGOING/EP110C con el numero de transacciones</t>
  </si>
  <si>
    <t>Edite Package</t>
  </si>
  <si>
    <t>ARCHIVO</t>
  </si>
  <si>
    <t>BIBLIOTECA</t>
  </si>
  <si>
    <t>UPDDTA BODEGATMP/PRUSWFCOMP</t>
  </si>
  <si>
    <t>CPYF FROMFILE(BODEGATMP/PRUSWFCOMP) TOFILE(switch.swfcomp) MBROPT(*ADD)</t>
  </si>
  <si>
    <t>Edit Package</t>
  </si>
  <si>
    <t>BIN</t>
  </si>
  <si>
    <t>FIID</t>
  </si>
  <si>
    <t>Cod. Autorizacion &lt;&gt;''</t>
  </si>
  <si>
    <t>Filtros  SQL</t>
  </si>
  <si>
    <t>Revision archivos de Proceso</t>
  </si>
  <si>
    <r>
      <t>WRKF FILE(SWITCH/</t>
    </r>
    <r>
      <rPr>
        <b/>
        <sz val="11"/>
        <color rgb="FF0070C0"/>
        <rFont val="Calibri"/>
        <family val="2"/>
        <scheme val="minor"/>
      </rPr>
      <t>SWFEXTRA</t>
    </r>
    <r>
      <rPr>
        <sz val="11"/>
        <color theme="1"/>
        <rFont val="Calibri"/>
        <family val="2"/>
        <scheme val="minor"/>
      </rPr>
      <t>)</t>
    </r>
  </si>
  <si>
    <r>
      <t>WRKF FILE(SWITCH/</t>
    </r>
    <r>
      <rPr>
        <b/>
        <sz val="11"/>
        <color rgb="FFFF0000"/>
        <rFont val="Calibri"/>
        <family val="2"/>
        <scheme val="minor"/>
      </rPr>
      <t>SWFAMEX</t>
    </r>
    <r>
      <rPr>
        <sz val="11"/>
        <color theme="1"/>
        <rFont val="Calibri"/>
        <family val="2"/>
        <scheme val="minor"/>
      </rPr>
      <t>)</t>
    </r>
  </si>
  <si>
    <r>
      <t>WRKF FILE(SWITCH/</t>
    </r>
    <r>
      <rPr>
        <b/>
        <sz val="11"/>
        <color rgb="FF00B050"/>
        <rFont val="Calibri"/>
        <family val="2"/>
        <scheme val="minor"/>
      </rPr>
      <t>SWFCAJER</t>
    </r>
    <r>
      <rPr>
        <sz val="11"/>
        <color theme="1"/>
        <rFont val="Calibri"/>
        <family val="2"/>
        <scheme val="minor"/>
      </rPr>
      <t>)</t>
    </r>
  </si>
  <si>
    <r>
      <t>CLRPFM FILE(SWITCH/</t>
    </r>
    <r>
      <rPr>
        <b/>
        <sz val="11"/>
        <color rgb="FFFF0000"/>
        <rFont val="Calibri"/>
        <family val="2"/>
        <scheme val="minor"/>
      </rPr>
      <t>SWFAMEX</t>
    </r>
    <r>
      <rPr>
        <sz val="11"/>
        <color theme="1"/>
        <rFont val="Calibri"/>
        <family val="2"/>
        <scheme val="minor"/>
      </rPr>
      <t>)</t>
    </r>
  </si>
  <si>
    <r>
      <t>CLRPFM FILE(SWITCH/</t>
    </r>
    <r>
      <rPr>
        <b/>
        <sz val="11"/>
        <color rgb="FF0070C0"/>
        <rFont val="Calibri"/>
        <family val="2"/>
        <scheme val="minor"/>
      </rPr>
      <t>SWFEXTRA</t>
    </r>
    <r>
      <rPr>
        <sz val="11"/>
        <color theme="1"/>
        <rFont val="Calibri"/>
        <family val="2"/>
        <scheme val="minor"/>
      </rPr>
      <t>)</t>
    </r>
  </si>
  <si>
    <r>
      <t>CLRPFM FILE(SWITCH/</t>
    </r>
    <r>
      <rPr>
        <b/>
        <sz val="11"/>
        <color rgb="FF00B050"/>
        <rFont val="Calibri"/>
        <family val="2"/>
        <scheme val="minor"/>
      </rPr>
      <t>SWFCAJER</t>
    </r>
    <r>
      <rPr>
        <sz val="11"/>
        <color theme="1"/>
        <rFont val="Calibri"/>
        <family val="2"/>
        <scheme val="minor"/>
      </rPr>
      <t>)</t>
    </r>
  </si>
  <si>
    <t>VDCAIAD CON INCOMING</t>
  </si>
  <si>
    <t xml:space="preserve"> </t>
  </si>
  <si>
    <t>Buscar Valor de Dólar PROUCCION</t>
  </si>
  <si>
    <t>CPYF FROMFILE(BODEGATMP/PRUSWFSWFOUT) TOFILE(switch.swfswfOUT) MBROPT(*ADD)</t>
  </si>
  <si>
    <t>UPDDTA BODEGATMP/PRUSWFOUT</t>
  </si>
  <si>
    <t>Validar o crear entidad en el archivo SWFCOMP</t>
  </si>
  <si>
    <t>Validar o crear entidad en el archivo SWFCOOUT</t>
  </si>
  <si>
    <t>Ejecutar Incoming</t>
  </si>
  <si>
    <t>F0483A1103</t>
  </si>
  <si>
    <t>F0485A1103</t>
  </si>
  <si>
    <t>DOCUMENTO</t>
  </si>
  <si>
    <t>NOMBRE</t>
  </si>
  <si>
    <t>CONCEPTO</t>
  </si>
  <si>
    <t>H/E DIURNA</t>
  </si>
  <si>
    <t>H/E NOCTURNA</t>
  </si>
  <si>
    <t>H/E FESTIVA DIURNA</t>
  </si>
  <si>
    <t>H/E FESTIVA NOCTURNA</t>
  </si>
  <si>
    <t>TOTAL POR TIPO HORA</t>
  </si>
  <si>
    <t>TOTAL GENERAL</t>
  </si>
  <si>
    <t>V.H.O.</t>
  </si>
  <si>
    <t>Horario Incicio</t>
  </si>
  <si>
    <t>Horario Fin</t>
  </si>
  <si>
    <t>Y</t>
  </si>
  <si>
    <t xml:space="preserve">ERROR </t>
  </si>
  <si>
    <t>DAVIVIENDA1</t>
  </si>
  <si>
    <t>DAVIVIENDA2</t>
  </si>
  <si>
    <t>F0483A1128</t>
  </si>
  <si>
    <t>F0485A1128</t>
  </si>
  <si>
    <t>Objetos 1</t>
  </si>
  <si>
    <t>Objetos 2</t>
  </si>
  <si>
    <t>Objetos 3</t>
  </si>
  <si>
    <t>Objetos 4</t>
  </si>
  <si>
    <t>Objetos 5</t>
  </si>
  <si>
    <t>Objetos 6</t>
  </si>
  <si>
    <t>Objetos 8</t>
  </si>
  <si>
    <t>RPGLE</t>
  </si>
  <si>
    <t>Objetos 7</t>
  </si>
  <si>
    <t>AUTORIZACIONES</t>
  </si>
  <si>
    <t>Accion realizada</t>
  </si>
  <si>
    <t xml:space="preserve">OPC1 </t>
  </si>
  <si>
    <t>OPC 2</t>
  </si>
  <si>
    <t>CAIT INCOMING</t>
  </si>
  <si>
    <t>F0483A1129</t>
  </si>
  <si>
    <t>F0485A1129</t>
  </si>
  <si>
    <t>Normalizar Fecha de Sistema</t>
  </si>
  <si>
    <t>Normalizar Fecha DTAARA</t>
  </si>
  <si>
    <t>Fecha Actual</t>
  </si>
  <si>
    <t>F0483A1205</t>
  </si>
  <si>
    <t>F0485A1205</t>
  </si>
  <si>
    <t>SELECT F82IFECPR, F82ISTSPR,count(*)
FROM ELECTRON.cef0882i  WHERE F82IFECPR &gt;=  20220825
GROUP BY  F82IFECPR, F82ISTSPR                                    
order by 1;</t>
  </si>
  <si>
    <t>SELECT COUNT(*) FROM BODEGATMP.JSCEF0882I</t>
  </si>
  <si>
    <t>SELECT B.F82ISTSPR , A.* FROM BODEGATMP.JSCEF0882I A INNER JOIN ELECTRON.CEF0882I B
ON A.DTARJE = B.DTARJE
AND A.DCODAU = B.DCODAU
AND A.DSECRE = B.DSECRE
AND A.DCODES = B.DCODES
AND A.DNUMCO = B.DNUMCO</t>
  </si>
  <si>
    <t>JSCEF0882I</t>
  </si>
  <si>
    <t>Normalizacion de transacciones amex</t>
  </si>
  <si>
    <t>En caso de ya procesado</t>
  </si>
  <si>
    <t>Miembro</t>
  </si>
  <si>
    <t>PRINCIPAL</t>
  </si>
  <si>
    <t>ASOCIADO</t>
  </si>
  <si>
    <t>MIEMBRO</t>
  </si>
  <si>
    <t>F0483A1221</t>
  </si>
  <si>
    <t>F0485A1221</t>
  </si>
  <si>
    <t>F0483A1222</t>
  </si>
  <si>
    <t>F0485A1222</t>
  </si>
  <si>
    <t>F0483A0102</t>
  </si>
  <si>
    <r>
      <t>X:\AEGNS\INC</t>
    </r>
    <r>
      <rPr>
        <sz val="10"/>
        <color theme="1"/>
        <rFont val="ApexSansBookT"/>
        <family val="3"/>
      </rPr>
      <t xml:space="preserve"> </t>
    </r>
  </si>
  <si>
    <t>AMEXLIFECYCLEPOSISS_Step1-GenerateFirstPresentment_xxxxxx_xxxxxxxx</t>
  </si>
  <si>
    <t>-------------&gt;</t>
  </si>
  <si>
    <t>Cargar Archivo en GAW TEST</t>
  </si>
  <si>
    <t>Nombrar archivo</t>
  </si>
  <si>
    <t>Recibir archivo</t>
  </si>
  <si>
    <t>CALL AMXCIPGM/ACIC0300</t>
  </si>
  <si>
    <t>Llamado al CALL AMXCIPGM/ACIC0300</t>
  </si>
  <si>
    <t>OPC. 4</t>
  </si>
  <si>
    <t>Archivo receptor en AS400</t>
  </si>
  <si>
    <t>AMXCIFIL/ACIF010A.</t>
  </si>
  <si>
    <t>ARCHIVO - PRES: F4</t>
  </si>
  <si>
    <t xml:space="preserve">Seleccione el archivo </t>
  </si>
  <si>
    <t>Secuencia</t>
  </si>
  <si>
    <t>NCM</t>
  </si>
  <si>
    <t>ENTER</t>
  </si>
  <si>
    <t>Verificar que la transferencia termine EXITOSAMENTE</t>
  </si>
  <si>
    <t>F10</t>
  </si>
  <si>
    <t>¿Fallo?</t>
  </si>
  <si>
    <t>FALLA PROCESO AMEX</t>
  </si>
  <si>
    <t>SI</t>
  </si>
  <si>
    <t>NO</t>
  </si>
  <si>
    <t>REVISAR ARCHIVO TD00XX/ACIFCISS</t>
  </si>
  <si>
    <t>UPDATE ARCHIVO TD00XX/ACIFCISS</t>
  </si>
  <si>
    <t>INSUMOS</t>
  </si>
  <si>
    <t>ENCRIP</t>
  </si>
  <si>
    <t>Encriptados</t>
  </si>
  <si>
    <t>No Encriptados</t>
  </si>
  <si>
    <t>TIPO</t>
  </si>
  <si>
    <t>SISTEMAS.PLF0100A</t>
  </si>
  <si>
    <t>SISTEMAS.SWFTAB08</t>
  </si>
  <si>
    <t>SISTEMAS.REFTAB08</t>
  </si>
  <si>
    <t>SISTEMAS.SIF0100B</t>
  </si>
  <si>
    <t xml:space="preserve">BASEDOS.BAFTAB40 </t>
  </si>
  <si>
    <t xml:space="preserve">SISTEMAS.REFTAB23 </t>
  </si>
  <si>
    <t xml:space="preserve">UPDATE PLF0100ANG </t>
  </si>
  <si>
    <t xml:space="preserve">UPDATE SWFTAB08NG </t>
  </si>
  <si>
    <t>BIN DE 8 DIGITOS</t>
  </si>
  <si>
    <t xml:space="preserve">UPDATE REFTAB08NG </t>
  </si>
  <si>
    <t>FEACHA ACUAL</t>
  </si>
  <si>
    <t>USUARIO</t>
  </si>
  <si>
    <t>HORA ACTUAL</t>
  </si>
  <si>
    <t>Total sin descuentos</t>
  </si>
  <si>
    <t>Salud</t>
  </si>
  <si>
    <t>Pension</t>
  </si>
  <si>
    <t>Total con descuentos</t>
  </si>
  <si>
    <t>Tema</t>
  </si>
  <si>
    <t>Actividad</t>
  </si>
  <si>
    <t>Pruebas Incoming Miembros Principales</t>
  </si>
  <si>
    <t>Pruebas Incoming Simulado</t>
  </si>
  <si>
    <t>Pruebas Outgoing Miembros Principales</t>
  </si>
  <si>
    <t>Pruebas Outgoing Miembros Asociados</t>
  </si>
  <si>
    <t>Pruebas</t>
  </si>
  <si>
    <t>Bines</t>
  </si>
  <si>
    <t>Diario - Por demanda</t>
  </si>
  <si>
    <t>Por demanda</t>
  </si>
  <si>
    <t>Semanal - Por demanda</t>
  </si>
  <si>
    <t>Por Demanda</t>
  </si>
  <si>
    <t>Mensual</t>
  </si>
  <si>
    <t>Diario</t>
  </si>
  <si>
    <t>Indicadores y gestiones mensuales</t>
  </si>
  <si>
    <t>Pruebas Simulador Amex</t>
  </si>
  <si>
    <t>Pruebas Interoperabilidad</t>
  </si>
  <si>
    <t>soporte</t>
  </si>
  <si>
    <t>reuniones varias</t>
  </si>
  <si>
    <t>varios</t>
  </si>
  <si>
    <t>Querys y consultas</t>
  </si>
  <si>
    <t>VISA VISA</t>
  </si>
  <si>
    <t>VISA</t>
  </si>
  <si>
    <t>DLGNET</t>
  </si>
  <si>
    <t>UPDATE DLGNET</t>
  </si>
  <si>
    <t>Pasar al archivo PTLF_TVQ</t>
  </si>
  <si>
    <t>CALL PGM(LGOMEZ/ADQBORRA)</t>
  </si>
  <si>
    <t>Adecuar archivos</t>
  </si>
  <si>
    <t>strsql</t>
  </si>
  <si>
    <t xml:space="preserve"> SELECT * FROM   BASEDOS.VQFCNTR0          </t>
  </si>
  <si>
    <t xml:space="preserve">CALL PGM(BASEDOS/VQC0100) </t>
  </si>
  <si>
    <t>N</t>
  </si>
  <si>
    <t>Archivo de Control</t>
  </si>
  <si>
    <t>UPDATE   BASEDOS.VQFCNTR0  SET DCNACT ='P'</t>
  </si>
  <si>
    <t>Update Archivo de control</t>
  </si>
  <si>
    <t>Ejecucion de proceso</t>
  </si>
  <si>
    <t>PLATINUM CONSUMO_</t>
  </si>
  <si>
    <t>FNG_PTLF05</t>
  </si>
  <si>
    <t>VDCAIAD2</t>
  </si>
  <si>
    <t>PRUM500</t>
  </si>
  <si>
    <t>PRUMELIMI</t>
  </si>
  <si>
    <t>PRUMOPERA</t>
  </si>
  <si>
    <t>NSCH_ENRCO</t>
  </si>
  <si>
    <t>ARCH_ENRNS</t>
  </si>
  <si>
    <t>NSCH_ENROK</t>
  </si>
  <si>
    <t>NS2H_ENROK</t>
  </si>
  <si>
    <t>Antes del cambio</t>
  </si>
  <si>
    <t>PRUM5002</t>
  </si>
  <si>
    <t>ESFBASIC</t>
  </si>
  <si>
    <t>REFTAB21</t>
  </si>
  <si>
    <t>FESFBASICI</t>
  </si>
  <si>
    <t>FREFTAB21I</t>
  </si>
  <si>
    <t>FPLF0100AI</t>
  </si>
  <si>
    <t>FSWFTAB08I</t>
  </si>
  <si>
    <t>FREFTAB08I</t>
  </si>
  <si>
    <t>FSIF0100BI</t>
  </si>
  <si>
    <t>FREFTAB23I</t>
  </si>
  <si>
    <t>FVDF0304EI</t>
  </si>
  <si>
    <t>ESTABLE</t>
  </si>
  <si>
    <t>SISTEMAS</t>
  </si>
  <si>
    <t>GAWTAB01</t>
  </si>
  <si>
    <t>PLF0100A</t>
  </si>
  <si>
    <t>SWFTAB08</t>
  </si>
  <si>
    <t>REFTAB08</t>
  </si>
  <si>
    <t>SIF0100B</t>
  </si>
  <si>
    <t>BAFTAB40</t>
  </si>
  <si>
    <t>REFTAB23</t>
  </si>
  <si>
    <t>VDF0304E</t>
  </si>
  <si>
    <t>BK</t>
  </si>
  <si>
    <t>RESTAURAR ORIGINAL</t>
  </si>
  <si>
    <t>INFORMACION TESTQA</t>
  </si>
  <si>
    <t>ORIGINAL IMPLEMENT</t>
  </si>
  <si>
    <t xml:space="preserve"> COPIA BK</t>
  </si>
  <si>
    <t>PASO DE PRUEBAS A IMPLEMENT</t>
  </si>
  <si>
    <t>ESF0810C</t>
  </si>
  <si>
    <t>EASV O RP(REDEBAN)</t>
  </si>
  <si>
    <t>DEPO AD</t>
  </si>
  <si>
    <t>REFTAB00</t>
  </si>
  <si>
    <t>FEFTAB00BK</t>
  </si>
  <si>
    <t>CPYF FROMFILE(BODEGATMP/FPTLFTVQNS) TOFILE(TANDEM/PTLF_TVQ) MBROPT(*REPLACE) FMTOPT(*NOCHK)</t>
  </si>
  <si>
    <t>TES2</t>
  </si>
  <si>
    <t>AMBOS</t>
  </si>
  <si>
    <t>ARCHIVOS EPTAS PARCIALES</t>
  </si>
  <si>
    <t>GWA</t>
  </si>
  <si>
    <t>RUTA:COMPENSACION-&gt;ENTRADA</t>
  </si>
  <si>
    <t>TIEMPOS DE EJECUCION</t>
  </si>
  <si>
    <t>CADA 2 HORAS -ULTIMA EJECUCION A LAS 11 PM.</t>
  </si>
  <si>
    <t>NOMBRE DE LOS ARCHIVOS INTEROPERABILIDAD</t>
  </si>
  <si>
    <t>EP_TVQMMDD01 (son 10 secuencia)</t>
  </si>
  <si>
    <t>Archivos validado por el SMARTVISTA</t>
  </si>
  <si>
    <t>EP_TVQMMDD01 P(P - salta de linea ajustado por GWA)</t>
  </si>
  <si>
    <t>PROCESO EN AS/400 -TRASMISION A AS/400</t>
  </si>
  <si>
    <t>VQC0200 (WRKJOBSCDE)</t>
  </si>
  <si>
    <t>SMARTVISTA</t>
  </si>
  <si>
    <t>RUTA PROCESOS EPTAS:</t>
  </si>
  <si>
    <t>VALIDACION TABLA EPTAS EJECUTADAS EN AS/400</t>
  </si>
  <si>
    <t>VQFCTRS0HS</t>
  </si>
  <si>
    <t>CASO 1</t>
  </si>
  <si>
    <t>VALIDAR REGISTROS DE CONTROL DE LOS ARCHIVOS EN CASO DE NO ESTAR LLAMAR A ANDRES SOLER.</t>
  </si>
  <si>
    <t>CASO 2</t>
  </si>
  <si>
    <t>ENVIAR FALLO GWA - LLAMAR A A DIDIER ESTEBAN APACHE</t>
  </si>
  <si>
    <t>PARA EL CASO 2</t>
  </si>
  <si>
    <t>SE DEBE PROCESAR LOS REGITROS DE LA TX DEL ARCHIVOS EPTA FALLIDO O NO PROCESADO PASOS:</t>
  </si>
  <si>
    <t>SE VALIDA LA EJECUCIONDE LOS PROCESO DE LOS EPTAS EN SMARTVISTA,PARA EVIDENCIAR EL ULTIMA EJECUTADO</t>
  </si>
  <si>
    <t>SE RENOMBRA EL ARCHIVO EPTA A PROCESAR EP_TVQMMDD01 (son 8 secuencia-TENER PRESENTE)</t>
  </si>
  <si>
    <t>DESCARGAR EL ARCHIVOS EPTA (EP_TVQMMDD01P)A DONDE SE INCLUIRA LOS REGISTROS PARA LA EJECUCION EN EL PROXIMO PROCESO</t>
  </si>
  <si>
    <t>SE VALIDA EL PROCESO EN AS/400 PROGRAMADOS (VQC0200) - SE CAMBIA LA HORA DE EJECUCION,CON EL FIN DE QUE SE EJECUTE CON LOS TX FALTANTES DEL EPTA.</t>
  </si>
  <si>
    <t>SE COPIA DEL REISTROS DEL ARCHIVO EP_TVQMMDD01 A EL ARCHIVO DE LA PROXIMA EJECUCION EP_TVQMMDD01P, CON EL NOTEPAD++ (CONTROL + A -SELECCIONAR TODO LOS REGISTROS)</t>
  </si>
  <si>
    <t>SE DEBE MODIFICAR EL REGISTRO DE CONTROL DEL ARCHIVO FINAL (EP_TVQMMDD01P),SUMANDOLE LA CANTIDAD DE TX ADICIONADAS</t>
  </si>
  <si>
    <t>RENOMBRAR EL ARCHIVO ORI_EP_TVQMMDD01P ACTUAL Y COLOCAR EN RUTA EL ARCHIVO FINAL.</t>
  </si>
  <si>
    <t>SBMJOB CMD(CALL PGM(BASEDOS/VQC0200) PARM('A')) JOBQ(QGPL/QTXTSRCH)</t>
  </si>
  <si>
    <t>CLRPFM FILE(TD0008/EXTRACTO)</t>
  </si>
  <si>
    <t>CLRPFM FILE(TD0008/CANJEETX)</t>
  </si>
  <si>
    <t xml:space="preserve">CLRPFM FILE(TD0008/CANJEITX) </t>
  </si>
  <si>
    <t>CLRPFM FILE(TD0008/DEPOSTX)</t>
  </si>
  <si>
    <t>GASFTPSEND DTPPRO('EXTRA_TEST') DCDCMP('0008')</t>
  </si>
  <si>
    <t>GASFTPSEND DTPPRO('CELEC_TEST') DCDCMP('0008')</t>
  </si>
  <si>
    <t>GASFTPSEND DTPPRO('DELEC_TEST') DCDCMP('0008')</t>
  </si>
  <si>
    <t>GASFTPSEND DTPPRO('CINTE_TEST') DCDCMP('0008')</t>
  </si>
  <si>
    <t>CLRPFM  FILE(BASEDOS/INITF2)</t>
  </si>
  <si>
    <t>CLRPFM  FILE(BASEDOS/INITF)</t>
  </si>
  <si>
    <t>SELECT DISTINCT DCDEST as ESTABLCIMIENTO, SUBSTR(DTERMI, 4, 5) AS TERMINAL, SUBSTR(MCTADE, 1,     
2)CODIGO_BANCO,RNOMEX AS NOMBRE_BANCO                                                     
 FROM BODEGATMP.FPTLFYS                                             
INNER JOIN SISTEMAS.REFTAB21                                        
ON DIGITS(MCODES)= CAST(SUBSTR(DCDEST, 2, 8) AS INT)                
 AND SUBSTR(DTERMI, 4, 5) =MNUMTE                                   
INNER JOIN SISTEMAS.REFTAB01 ON SUBSTR(MCTADE, 1, 2) = RBANCO       
WHERE DREFER&lt;&gt;'' ORDER BY RNOMEX</t>
  </si>
  <si>
    <t>NINGUNO</t>
  </si>
  <si>
    <t>RP</t>
  </si>
  <si>
    <t>VALIDACION DE DEPO</t>
  </si>
  <si>
    <t>377844</t>
  </si>
  <si>
    <t>DDMMAA  - CAMBIAR FECHA DE SESION - FECHA DEL DIA SIGUIENTE A LA DEL ARCHIVO EPTA</t>
  </si>
  <si>
    <t>UPDATE EXTRACTO</t>
  </si>
  <si>
    <t>Validacion EPTA</t>
  </si>
  <si>
    <t>Revisión archivos de Proceso</t>
  </si>
  <si>
    <t xml:space="preserve"> Validación- EASV - RP</t>
  </si>
  <si>
    <t>Generar Incoming Simulado</t>
  </si>
  <si>
    <r>
      <t>WRKF FILE(CANJE/</t>
    </r>
    <r>
      <rPr>
        <b/>
        <sz val="11"/>
        <color rgb="FF7030A0"/>
        <rFont val="Calibri"/>
        <family val="2"/>
        <scheme val="minor"/>
      </rPr>
      <t>CAFRPREDB</t>
    </r>
    <r>
      <rPr>
        <sz val="11"/>
        <color theme="1"/>
        <rFont val="Calibri"/>
        <family val="2"/>
        <scheme val="minor"/>
      </rPr>
      <t>)</t>
    </r>
  </si>
  <si>
    <t xml:space="preserve">CALL PGM(ESTABLE/ESCONSUL) </t>
  </si>
  <si>
    <t>OPCION 1- 6</t>
  </si>
  <si>
    <t>FORMATO PARAMETRO DE FECH: AAAMMDD</t>
  </si>
  <si>
    <t>Restauracion archivos de control</t>
  </si>
  <si>
    <t>Formato de parametro: DDMMAA</t>
  </si>
  <si>
    <t>Formato de parametro: AAMMDD</t>
  </si>
  <si>
    <t>Mayo o Igual a fecha de Incoming</t>
  </si>
  <si>
    <t>Mayor a fecha de Incoming</t>
  </si>
  <si>
    <t>Limpiar archivos Ent Incoming</t>
  </si>
  <si>
    <t>Miembros Principales Internacional</t>
  </si>
  <si>
    <t>Miembros Principales Domestico</t>
  </si>
  <si>
    <t>Miembros Asociados Domesticos</t>
  </si>
  <si>
    <t>Miembros Asociados Internacional</t>
  </si>
  <si>
    <t>VD - Archivo Canje Electrónico Diario Visa</t>
  </si>
  <si>
    <t>Igual a la fecha Juliana</t>
  </si>
  <si>
    <t>Revisión de archivos de salida</t>
  </si>
  <si>
    <t>EXTT</t>
  </si>
  <si>
    <t>Archivos de salida</t>
  </si>
  <si>
    <r>
      <t>F0483A</t>
    </r>
    <r>
      <rPr>
        <b/>
        <sz val="11"/>
        <color rgb="FFFF0000"/>
        <rFont val="Calibri"/>
        <family val="2"/>
        <scheme val="minor"/>
      </rPr>
      <t>BBDD</t>
    </r>
  </si>
  <si>
    <r>
      <t>F0485A</t>
    </r>
    <r>
      <rPr>
        <b/>
        <sz val="11"/>
        <color rgb="FFFF0000"/>
        <rFont val="Calibri"/>
        <family val="2"/>
        <scheme val="minor"/>
      </rPr>
      <t>BBDD</t>
    </r>
  </si>
  <si>
    <t>Salvado de archivo BAIO 0483 Y 0485</t>
  </si>
  <si>
    <t>restaurar BAIO 0483 Y 0485</t>
  </si>
  <si>
    <t>paso de archivo BAI483 Y 485</t>
  </si>
  <si>
    <t>Normalizar Fecha del ambiente</t>
  </si>
  <si>
    <t>F0485A0206</t>
  </si>
  <si>
    <t>CPYF FROMFILE(BODEGATMP/FTLF_YS) TOFILE(SWITCH/SWFCAJER) MBROPT(*REPLACE) FMTOPT(*NOCHK)</t>
  </si>
  <si>
    <t>Limpiado de archivos por formato .PGP</t>
  </si>
  <si>
    <t>Envio de archivos por formato .PGP</t>
  </si>
  <si>
    <t>Copia de archivos por formato .PGP</t>
  </si>
  <si>
    <t>TIPO DE INCOMING</t>
  </si>
  <si>
    <t>INTERNACIONAL</t>
  </si>
  <si>
    <t>DOMESTICO</t>
  </si>
  <si>
    <t>CLRPFM FILE(BODEGATMP/FPTLFYS)</t>
  </si>
  <si>
    <t>CLRPFM FILE(BODEGATMP/FPTLFJC)</t>
  </si>
  <si>
    <t>CLRPFM FILE(BODEGATMP/FTLF_YS)</t>
  </si>
  <si>
    <t>CLRPFM FILE(BODEGATMP/FTLF_NS)</t>
  </si>
  <si>
    <t>CPYF FROMFILE(BODEGATMP/FPTLFYS) TOFILE(SWITCH/SWFEXTRA) MBROPT(*REPLACE) FMTOPT(*NOCHK)</t>
  </si>
  <si>
    <t>CPYF FROMFILE(BODEGATMP/FPTLFJC) TOFILE(SWITCH/SWFAMEX) MBROPT(*REPLACE) FMTOPT(*NOCHK)</t>
  </si>
  <si>
    <r>
      <t xml:space="preserve">EASV </t>
    </r>
    <r>
      <rPr>
        <b/>
        <sz val="11"/>
        <rFont val="Calibri"/>
        <family val="2"/>
        <scheme val="minor"/>
      </rPr>
      <t>o</t>
    </r>
    <r>
      <rPr>
        <b/>
        <sz val="11"/>
        <color rgb="FF00B050"/>
        <rFont val="Calibri"/>
        <family val="2"/>
        <scheme val="minor"/>
      </rPr>
      <t xml:space="preserve"> </t>
    </r>
    <r>
      <rPr>
        <b/>
        <sz val="11"/>
        <color rgb="FF7030A0"/>
        <rFont val="Calibri"/>
        <family val="2"/>
        <scheme val="minor"/>
      </rPr>
      <t>RP</t>
    </r>
  </si>
  <si>
    <t>Update Extracto</t>
  </si>
  <si>
    <t>BAF0201H</t>
  </si>
  <si>
    <t>ASOCIADOS</t>
  </si>
  <si>
    <t>PRINCIPALES</t>
  </si>
  <si>
    <t>AS400</t>
  </si>
  <si>
    <t>CAITAD</t>
  </si>
  <si>
    <t>CAITAD2</t>
  </si>
  <si>
    <t>CAEAD</t>
  </si>
  <si>
    <t>CAEA2</t>
  </si>
  <si>
    <t>VDCAIAD</t>
  </si>
  <si>
    <t>ADENDAS INCOMING</t>
  </si>
  <si>
    <t>ADENDAS DEPOSITOS</t>
  </si>
  <si>
    <t>CLRPFM FILE(BODEGATMP/FPTLFTVQNS)</t>
  </si>
  <si>
    <t>call BASEDOS/BAR0104</t>
  </si>
  <si>
    <t>VALOR DÓLAR</t>
  </si>
  <si>
    <r>
      <t>WRKF FILE(SWITCH/</t>
    </r>
    <r>
      <rPr>
        <b/>
        <sz val="11"/>
        <color rgb="FF0070C0"/>
        <rFont val="Calibri Light"/>
        <family val="2"/>
        <scheme val="major"/>
      </rPr>
      <t>SWFEXTRA</t>
    </r>
    <r>
      <rPr>
        <sz val="11"/>
        <color theme="1"/>
        <rFont val="Calibri Light"/>
        <family val="2"/>
        <scheme val="major"/>
      </rPr>
      <t>)</t>
    </r>
  </si>
  <si>
    <r>
      <t>WRKF FILE(SWITCH/</t>
    </r>
    <r>
      <rPr>
        <b/>
        <sz val="11"/>
        <color rgb="FFFF0000"/>
        <rFont val="Calibri Light"/>
        <family val="2"/>
        <scheme val="major"/>
      </rPr>
      <t>SWFAMEX</t>
    </r>
    <r>
      <rPr>
        <sz val="11"/>
        <color theme="1"/>
        <rFont val="Calibri Light"/>
        <family val="2"/>
        <scheme val="major"/>
      </rPr>
      <t>)</t>
    </r>
  </si>
  <si>
    <r>
      <t>WRKF FILE(SWITCH/</t>
    </r>
    <r>
      <rPr>
        <b/>
        <sz val="11"/>
        <color rgb="FF00B050"/>
        <rFont val="Calibri Light"/>
        <family val="2"/>
        <scheme val="major"/>
      </rPr>
      <t>SWFCAJER</t>
    </r>
    <r>
      <rPr>
        <sz val="11"/>
        <color theme="1"/>
        <rFont val="Calibri Light"/>
        <family val="2"/>
        <scheme val="major"/>
      </rPr>
      <t>)</t>
    </r>
  </si>
  <si>
    <r>
      <t>WRKF FILE(CANJE/</t>
    </r>
    <r>
      <rPr>
        <b/>
        <sz val="11"/>
        <color rgb="FF7030A0"/>
        <rFont val="Calibri Light"/>
        <family val="2"/>
        <scheme val="major"/>
      </rPr>
      <t>CAFRPREDB</t>
    </r>
    <r>
      <rPr>
        <sz val="11"/>
        <color theme="1"/>
        <rFont val="Calibri Light"/>
        <family val="2"/>
        <scheme val="major"/>
      </rPr>
      <t>)</t>
    </r>
  </si>
  <si>
    <t>PTLFTVQ</t>
  </si>
  <si>
    <t>Validacion PTLFTVQ</t>
  </si>
  <si>
    <t xml:space="preserve">SISTEMAS.VDF0304E </t>
  </si>
  <si>
    <t xml:space="preserve">PLF0100ANG </t>
  </si>
  <si>
    <t xml:space="preserve">SWFTAB08NG </t>
  </si>
  <si>
    <t xml:space="preserve">REFTAB08NG </t>
  </si>
  <si>
    <t xml:space="preserve">BAFTAB40NG </t>
  </si>
  <si>
    <t>REFTAB23NG</t>
  </si>
  <si>
    <t>VDF0304ENG</t>
  </si>
  <si>
    <t>SIF0100BNG</t>
  </si>
  <si>
    <r>
      <t>CLRPFM FILE(CANJE/</t>
    </r>
    <r>
      <rPr>
        <sz val="11"/>
        <color rgb="FF7030A0"/>
        <rFont val="Calibri"/>
        <family val="2"/>
        <scheme val="minor"/>
      </rPr>
      <t>CAFRPREDB</t>
    </r>
    <r>
      <rPr>
        <sz val="11"/>
        <color theme="1"/>
        <rFont val="Calibri"/>
        <family val="2"/>
        <scheme val="minor"/>
      </rPr>
      <t>)</t>
    </r>
  </si>
  <si>
    <t>CPYF FROMFILE(BODEGATMP/FTLF_NS) TOFILE(CANJE/CAFRPREDB) MBROPT(*REPLACE) FMTOPT(*NOCHK)</t>
  </si>
  <si>
    <t> </t>
  </si>
  <si>
    <t>FIID 1</t>
  </si>
  <si>
    <t>FIID2</t>
  </si>
  <si>
    <t>FID3</t>
  </si>
  <si>
    <t>FIID DE REVISION</t>
  </si>
  <si>
    <t>CAF0760E</t>
  </si>
  <si>
    <t>o</t>
  </si>
  <si>
    <t>archiv</t>
  </si>
  <si>
    <t>CAF0760EP</t>
  </si>
  <si>
    <t>ATH</t>
  </si>
  <si>
    <t>Cartas CAI0228A Y CAI0224A</t>
  </si>
  <si>
    <t>Adendas IATA</t>
  </si>
  <si>
    <t>EXTRA</t>
  </si>
  <si>
    <t>RECARGO</t>
  </si>
  <si>
    <t>RECARGOS</t>
  </si>
  <si>
    <t xml:space="preserve">SELECT DISTINCT DCDEST as ESTABLCIMIENTO, SUBSTR(DTERMI, 4, 5) AS   
TERMINAL, SUBSTR(MCTADE, 1, 2)CODIGO_BANCO,RNOMEX AS                
NOMBRE_BANCO,MTIPTE,CTPRED,CESCTA,DPEMOD, CCTACO,MCTADE FROM        
BODEGATMP.FPTLFYS INNER JOIN SISTEMAS.REFTAB21 ON DIGITS(MCODES)=   
CAST(SUBSTR(DCDEST, 2, 8) AS INT)  AND SUBSTR(DTERMI, 4, 5) =MNUMTE 
INNER JOIN SISTEMAS.REFTAB01 ON SUBSTR(MCTADE, 1, 2) = RBANCO INNER 
JOIN ESTABLE.ESF0810C ON CCODES=MCODES    AND CCOMPE=SUBSTR(MCTADE, 
1, 2)  WHERE DREFER&lt;&gt;'' AND CESCTA =1                               
 GROUP BY DCDEST,SUBSTR(DTERMI, 4, 5),SUBSTR(MCTADE, 1, 2),RNOMEX   
 ,MTIPTE,CTPRED,CESCTA,DPEMOD, CCTACO,MCTADE                        
HAVING CCTACO = SUBSTR(MCTADE, 3, 16)                               
 ORDER BY SUBSTR(MCTADE, 1, 2),SUBSTR(DTERMI, 4, 5),RNOMEX          </t>
  </si>
  <si>
    <t>FIID1</t>
  </si>
  <si>
    <t>ESTANDAR</t>
  </si>
  <si>
    <t>SIMULADO</t>
  </si>
  <si>
    <t>Numero de Objeto</t>
  </si>
  <si>
    <t>Tipo de Objeto</t>
  </si>
  <si>
    <t>Objeto/Biblioteca</t>
  </si>
  <si>
    <t>Comando</t>
  </si>
  <si>
    <t>Validacion</t>
  </si>
  <si>
    <t>CAIT SILUMADO</t>
  </si>
  <si>
    <t>F0483A0512</t>
  </si>
  <si>
    <t>F0485A0512</t>
  </si>
  <si>
    <t>ENTRADA</t>
  </si>
  <si>
    <t>REFTAB21  RCHIVO MAESTRO DE TERMINALES   </t>
  </si>
  <si>
    <t>ESFBASIC ARCHIVO MAESTRO DE ESTABLECIMIENTOS</t>
  </si>
  <si>
    <t>ACTUALIZACION</t>
  </si>
  <si>
    <t>SWFBASIK  ARCHIVO BASICO DE CONCILIACION        </t>
  </si>
  <si>
    <t>SALIDA</t>
  </si>
  <si>
    <t>SWFBASLG  ARCHIVO HISTORICO NOVEDADES SWFBASIC     </t>
  </si>
  <si>
    <t>Opción 8</t>
  </si>
  <si>
    <t>PROGRAMA CAR0583</t>
  </si>
  <si>
    <t>CAL0720C  ARCHIVO DE REGISTROS ERRADOS  </t>
  </si>
  <si>
    <t>SWLOWTER ARCHIVO DE DUEÑO DE TERMINAL</t>
  </si>
  <si>
    <t>REFTAB03 TABLA DE CIUDADES</t>
  </si>
  <si>
    <t>CAL0720E  ARCHIVO DE REGISTROS ELIMINADOS</t>
  </si>
  <si>
    <t>SALIDA Y ACTUALIZACION</t>
  </si>
  <si>
    <t>SWFBASLG  ARCHIVO HISTORICO NOVEDADES SWFBASIC   </t>
  </si>
  <si>
    <t>SWFBASIK   ARCHIVO HISTORICO NOVEDADES SWFBASIC</t>
  </si>
  <si>
    <t>Opción 9</t>
  </si>
  <si>
    <t>PROGRAMA CAR0581</t>
  </si>
  <si>
    <t>SWLBAS19  RCHIVO DE REGISTROS SIN CONSIGNAR </t>
  </si>
  <si>
    <t>Opción 10</t>
  </si>
  <si>
    <t>PROGRAMA CAR0584</t>
  </si>
  <si>
    <t>SWLSIND1  ARCHIVO DE REGISTROS SIN CONSIGNAR </t>
  </si>
  <si>
    <t>SWLSIND3  ARCHIVO DE REGISTROS SIN CONSIGNAR </t>
  </si>
  <si>
    <t>Opción 11</t>
  </si>
  <si>
    <t>PROGRAMA CAR0586</t>
  </si>
  <si>
    <t>SWLREVE1  ARCHIVO DE REGISTROS SIN REVERSAR</t>
  </si>
  <si>
    <t>SWLREVE3 ARCHIVO DE REGISTROS SIN REVERSAR</t>
  </si>
  <si>
    <t>Opción 13</t>
  </si>
  <si>
    <t>PROGRAMA CAR0589</t>
  </si>
  <si>
    <t>SWLBAS08  ARCHIVO DE REGISTROS SIN CONSIGNAR</t>
  </si>
  <si>
    <t>SWLOWTER ARCHIVO DE DUEÑO DEL TERMINAL</t>
  </si>
  <si>
    <t>SWLBAS8E ARCHIVO DE REGISTROS SIN CONSIGNAR</t>
  </si>
  <si>
    <t>Opción 14</t>
  </si>
  <si>
    <t>PROGRAMA CAR0590</t>
  </si>
  <si>
    <t>SWLPOSER  ARCHIVO DE REGISTROS TERMINALES ELIMINADOS </t>
  </si>
  <si>
    <t>SWLPOSEA  ARCHIVO DE REGISTROS TERMINALES ELIMINADOS</t>
  </si>
  <si>
    <t xml:space="preserve">ESFBASIC </t>
  </si>
  <si>
    <t>ARCHIVO MAESTRO DE ESTABLECIMIENTOS</t>
  </si>
  <si>
    <t>ARCHIVO MAESTRO DE TERMINALES   </t>
  </si>
  <si>
    <t>CAL0720A</t>
  </si>
  <si>
    <t>ARCHIVO DE REGISTROS ELIMINADOS </t>
  </si>
  <si>
    <t>CONCILIACION</t>
  </si>
  <si>
    <t>F0483A0518</t>
  </si>
  <si>
    <t>F0485A0518</t>
  </si>
  <si>
    <t>Movimiento de Diners.</t>
  </si>
  <si>
    <t>Movimiento de Trans. Capturadas Web de Operaciones.</t>
  </si>
  <si>
    <t xml:space="preserve">SELECT DFHAPL, DSTREG, COUNT(*) FROM CANJE/CAFWEBCM GROUP BY        
DFHAPL, DSTREG ORDER BY DFHAPL, DSTREG                              </t>
  </si>
  <si>
    <t>Movimiento de Trans. Capturado desde  Web de Reversos.</t>
  </si>
  <si>
    <t xml:space="preserve">CPYF FROMFILE(BASEDOS/CAF0710ABK) TOFILE(BODEGATMP/F0710ABK) MBROPT(*REPLACE) CRTFILE(*YES) FMTOPT(*NOCHK)  </t>
  </si>
  <si>
    <t>Tabla de Control movimiento de Interoperabilidad.</t>
  </si>
  <si>
    <t>MD. COMP AL COBRO - OFF LINE</t>
  </si>
  <si>
    <t xml:space="preserve">CPYF FROMFILE(ELECTRON/CEF0500A) TOFILE(BODEGATMP/F_CEF500A) 
MBROPT(*REPLACE) CRTFILE(*YES) FMTOPT(*NOCHK)                                               </t>
  </si>
  <si>
    <t>CEF0500A</t>
  </si>
  <si>
    <t>Revisar archivos de control</t>
  </si>
  <si>
    <t>Ingrese fecha del paralelo solicitada</t>
  </si>
  <si>
    <t xml:space="preserve">select DFHAPL, DSTREG, COUNT(*) from ELECTRON/CEF0149H group by DFHAPL, DSTREG order by DFHAPL, DSTREG                                                                            </t>
  </si>
  <si>
    <t>ARCHIVO DE TRABAJO</t>
  </si>
  <si>
    <t>ACCIONES EN PRODUCCION</t>
  </si>
  <si>
    <t>ACCIONES EN CONTINGENCIA</t>
  </si>
  <si>
    <t xml:space="preserve">SELECT DFHAPL, DSTREG, COUNT(*) FROM ELECTRON/CEFWEBCE GROUP BY DFHAPL, DSTREG ORDER BY DFHAPL, DSTREG           </t>
  </si>
  <si>
    <t>Fecha Juliana</t>
  </si>
  <si>
    <t xml:space="preserve"> Solicitud de archivos </t>
  </si>
  <si>
    <t>Archivos ya se encuentra en contingencia</t>
  </si>
  <si>
    <t>¿Existen registros?</t>
  </si>
  <si>
    <t>CANJE/CAFWEBCM</t>
  </si>
  <si>
    <t>ELCTRON/CEF0149H</t>
  </si>
  <si>
    <t>ELECTRON/CEFWEBCE</t>
  </si>
  <si>
    <t xml:space="preserve">CPYF FROMFILE(BODEGATMP/F0710ABK) TOFILE(BASEDOS/CAF0710A) MBROPT(*REPLACE) FMTOPT(*NOCHK)     </t>
  </si>
  <si>
    <t>BASEDOS/CAF0710A</t>
  </si>
  <si>
    <t>BASEDOS/VDFCNTR0</t>
  </si>
  <si>
    <t xml:space="preserve">CPYF FROMFILE(BODEGATMP/FVDFCNTR0 TOFILE(BASEDOS/VDFCNTR0) MBROPT(*ADD) FMTOPT(*NOCHK)                                </t>
  </si>
  <si>
    <t>Esta disponible el archivo PEPTASMMDD en la ruta 
GAW_TEST&gt;TRANSFERAPP_SMARTVISTA&gt;COMPENSACION&gt;ENTRADA</t>
  </si>
  <si>
    <t>PEPTASMMDD</t>
  </si>
  <si>
    <t>Cambiar nombre del archivo</t>
  </si>
  <si>
    <t>Limpiar archivo para recibir PEPTAS0101</t>
  </si>
  <si>
    <t>Copiar
EPTATXTSP &gt; PTLSVMMDD</t>
  </si>
  <si>
    <t>Borrar registro de control</t>
  </si>
  <si>
    <t>Existen registros</t>
  </si>
  <si>
    <t>Archivo PEPTASMMDD</t>
  </si>
  <si>
    <t>RUTA</t>
  </si>
  <si>
    <t>GAW TEST</t>
  </si>
  <si>
    <t>Revision de archivos GAW - TEST</t>
  </si>
  <si>
    <t>X/BANCOS/REDEBAN/RECIBIR/FILES</t>
  </si>
  <si>
    <t>X/TRANSFERAPP_SMARTVISTA/COMPENSACION/ENTRADA</t>
  </si>
  <si>
    <t>Paralel Contingencia</t>
  </si>
  <si>
    <t xml:space="preserve">Integración de transacciones en proceso de cajeros solicita Andres soler </t>
  </si>
  <si>
    <t>error Eptas parciales y outgoing - reporta operador y área de operaciones</t>
  </si>
  <si>
    <t>error CAC0225 - archivo bloqueado reporta operador</t>
  </si>
  <si>
    <t>error Eptas parciales y outgoing - reporta operador y área de operaciones - Validacion Outgoing Inter. ADQ - Opción #2 - PASO A PRODUCCION</t>
  </si>
  <si>
    <t>validacion transacciones error outgoing</t>
  </si>
  <si>
    <t>error canje electronico archivo bloqueado</t>
  </si>
  <si>
    <t>SOLICITUD</t>
  </si>
  <si>
    <t>F0483A0526</t>
  </si>
  <si>
    <t>F0485A0526</t>
  </si>
  <si>
    <t>periodicidad</t>
  </si>
  <si>
    <t>Usuarios</t>
  </si>
  <si>
    <t>revisiones archivos entregados</t>
  </si>
  <si>
    <t>reunión con entidades</t>
  </si>
  <si>
    <t>Creación de Bines</t>
  </si>
  <si>
    <t>Eliminación de Bines</t>
  </si>
  <si>
    <t>Creación, modificación y/o eliminación de usuarios Edit. Package</t>
  </si>
  <si>
    <t>Creación, modificación y/o eliminación de usuarios SVBO</t>
  </si>
  <si>
    <t>Trasferencia de archivos y Extracción de Información</t>
  </si>
  <si>
    <t>Trasferencia de archivos AS400 Producción - TESTQA</t>
  </si>
  <si>
    <t>Trasferencia de archivos GAW producción - pruebas</t>
  </si>
  <si>
    <t>AS400 monitoreo - Gestión</t>
  </si>
  <si>
    <t>Reporte de archivos en por memoria Producción BODEGATMP</t>
  </si>
  <si>
    <t>Reporte de archivos en por memoria Producción Todas las Bibliotecas</t>
  </si>
  <si>
    <t>Pasos a producción</t>
  </si>
  <si>
    <t>Actualización de Perfiles</t>
  </si>
  <si>
    <t>Indicadores de Gestión</t>
  </si>
  <si>
    <t>Consolidado de Indicadores de Gestión</t>
  </si>
  <si>
    <t>Envió Archivo Amex ACIK350C</t>
  </si>
  <si>
    <t>gestión de requerimientos/solicitudes Jira - análisis y solución y/o respuesta</t>
  </si>
  <si>
    <t>disponibilidad Atención y gestión de errores reportados</t>
  </si>
  <si>
    <t>Pruebas Estándar</t>
  </si>
  <si>
    <t>Pruebas Incoming Miembros Asociados</t>
  </si>
  <si>
    <t>BPD_CE_01</t>
  </si>
  <si>
    <t>GASFTPSEND DTPPRO(BPD_CE_01) DCDCMP('0067')</t>
  </si>
  <si>
    <t>F0483A0606</t>
  </si>
  <si>
    <t>F0485A0606</t>
  </si>
  <si>
    <t>F0483A0607</t>
  </si>
  <si>
    <t>F0485A0607</t>
  </si>
  <si>
    <t>F0483A0605</t>
  </si>
  <si>
    <t>F0485A0605</t>
  </si>
  <si>
    <t>F0483A0523</t>
  </si>
  <si>
    <t>F0485A0523</t>
  </si>
  <si>
    <t>F0485A0631</t>
  </si>
  <si>
    <t>F0483A0631</t>
  </si>
  <si>
    <t>F0483A0602</t>
  </si>
  <si>
    <t>F0485A0602</t>
  </si>
  <si>
    <t>SISTEMAS.REFTAB21</t>
  </si>
  <si>
    <t>ESTABLE.ESF0810C</t>
  </si>
  <si>
    <t>DCDCMP</t>
  </si>
  <si>
    <t>DCARP2</t>
  </si>
  <si>
    <t>BOGOTA\</t>
  </si>
  <si>
    <t>POPULAR\</t>
  </si>
  <si>
    <t>COLOMBIA\</t>
  </si>
  <si>
    <t>CAFETERO\</t>
  </si>
  <si>
    <t>SANTANDE\</t>
  </si>
  <si>
    <t>AMEXCOL\ADAMEX\</t>
  </si>
  <si>
    <t>AMEXCOL\</t>
  </si>
  <si>
    <t>COOPCENTRAL\</t>
  </si>
  <si>
    <t>CITIBANK\</t>
  </si>
  <si>
    <t>HSBC\</t>
  </si>
  <si>
    <t>SUDAMERI\</t>
  </si>
  <si>
    <t>GANADERO\</t>
  </si>
  <si>
    <t>CREDITO\</t>
  </si>
  <si>
    <t>SCOTIACOLPATRIA\</t>
  </si>
  <si>
    <t>COLPATRI\</t>
  </si>
  <si>
    <t>OCCIDENT\</t>
  </si>
  <si>
    <t>TECNIPAGOS\</t>
  </si>
  <si>
    <t>SOCIAL\</t>
  </si>
  <si>
    <t>SUPERIOR\</t>
  </si>
  <si>
    <t>DINNERS\</t>
  </si>
  <si>
    <t>COLTEFIN\</t>
  </si>
  <si>
    <t>SERFINANSA\</t>
  </si>
  <si>
    <t>ICF\</t>
  </si>
  <si>
    <t>AGRARIO\</t>
  </si>
  <si>
    <t>COMULTRASAN\</t>
  </si>
  <si>
    <t>CONECT\COMULTR\</t>
  </si>
  <si>
    <t>CREDIFIN\</t>
  </si>
  <si>
    <t>CREDIVAL\</t>
  </si>
  <si>
    <t>JURISCOOP\</t>
  </si>
  <si>
    <t>DAVIVIEN\</t>
  </si>
  <si>
    <t>AVVILLAS\</t>
  </si>
  <si>
    <t>FINANDINA\</t>
  </si>
  <si>
    <t>INVERSOR\</t>
  </si>
  <si>
    <t>RIPLEY\</t>
  </si>
  <si>
    <t>FALABELLA\</t>
  </si>
  <si>
    <t>COOMEVA\</t>
  </si>
  <si>
    <t>CONECT\BANCOOM\</t>
  </si>
  <si>
    <t>EXITO\</t>
  </si>
  <si>
    <t>SERVIBAN\</t>
  </si>
  <si>
    <t>ATH\</t>
  </si>
  <si>
    <t>LAPOLAR\</t>
  </si>
  <si>
    <t>ASSENDA\</t>
  </si>
  <si>
    <t>PEXTO\</t>
  </si>
  <si>
    <t>CARPETA ENVIO GAW</t>
  </si>
  <si>
    <t xml:space="preserve">Buenas Día,
</t>
  </si>
  <si>
    <t xml:space="preserve">
Los archivos se han transferido al servidor de transferencia en la siguiente ruta:</t>
  </si>
  <si>
    <t>BASEDOS/VDF0304E</t>
  </si>
  <si>
    <t xml:space="preserve">UPDATE SIF0100BNG </t>
  </si>
  <si>
    <t>Miembros principales</t>
  </si>
  <si>
    <t>REFTAB00PR</t>
  </si>
  <si>
    <t>VDF0846B</t>
  </si>
  <si>
    <t>VDR0015</t>
  </si>
  <si>
    <t>PF</t>
  </si>
  <si>
    <t>ERESFBASIC</t>
  </si>
  <si>
    <t>ERESFNITRE</t>
  </si>
  <si>
    <t>ERMNFBASIC</t>
  </si>
  <si>
    <t>RDIAZ</t>
  </si>
  <si>
    <t>Archivos spool Error</t>
  </si>
  <si>
    <t>ESFNITRE</t>
  </si>
  <si>
    <t xml:space="preserve">  </t>
  </si>
  <si>
    <t>FTLF_14</t>
  </si>
  <si>
    <t>PTLF_14</t>
  </si>
  <si>
    <t>07 05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</si>
</sst>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\ #,##0;[Red]\-&quot;$&quot;\ #,##0"/>
    <numFmt numFmtId="44" formatCode="_-&quot;$&quot;\ * #,##0.00_-;\-&quot;$&quot;\ * #,##0.00_-;_-&quot;$&quot;\ * &quot;-&quot;??_-;_-@_-"/>
    <numFmt numFmtId="164" formatCode="00"/>
    <numFmt numFmtId="165" formatCode="h:mm:ss;@"/>
    <numFmt numFmtId="166" formatCode="[$-F800]dddd\,\ mmmm\ dd\,\ yyyy"/>
    <numFmt numFmtId="167" formatCode="0.0"/>
  </numFmts>
  <fonts count="5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FF00"/>
      <name val="Calibri"/>
      <family val="2"/>
      <scheme val="minor"/>
    </font>
    <font>
      <b/>
      <sz val="11"/>
      <color rgb="FF3366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2"/>
      <color rgb="FF7890F0"/>
      <name val="Calibri"/>
      <family val="2"/>
      <scheme val="minor"/>
    </font>
    <font>
      <b/>
      <sz val="11"/>
      <color rgb="FF7890F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80"/>
      <name val="Courier New"/>
      <family val="3"/>
    </font>
    <font>
      <sz val="10"/>
      <color rgb="FFFF0000"/>
      <name val="ApexSansBookT"/>
      <family val="3"/>
    </font>
    <font>
      <sz val="10"/>
      <color theme="1"/>
      <name val="ApexSansBookT"/>
      <family val="3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b/>
      <sz val="11"/>
      <color rgb="FF7030A0"/>
      <name val="Calibri"/>
      <family val="2"/>
      <scheme val="minor"/>
    </font>
    <font>
      <b/>
      <sz val="11"/>
      <color theme="0"/>
      <name val="Calibri"/>
      <family val="2"/>
    </font>
    <font>
      <sz val="10"/>
      <color theme="1"/>
      <name val="Times New Roman"/>
      <family val="1"/>
    </font>
    <font>
      <b/>
      <sz val="11"/>
      <color rgb="FF00B050"/>
      <name val="Calibri"/>
      <family val="2"/>
    </font>
    <font>
      <b/>
      <sz val="12"/>
      <color rgb="FFFFFFFF"/>
      <name val="Calibri"/>
      <family val="2"/>
    </font>
    <font>
      <sz val="12"/>
      <color rgb="FF000000"/>
      <name val="Calibri"/>
      <family val="2"/>
    </font>
    <font>
      <b/>
      <sz val="11"/>
      <color theme="1"/>
      <name val="Calibri Light"/>
      <family val="2"/>
      <scheme val="major"/>
    </font>
    <font>
      <sz val="11"/>
      <color theme="1"/>
      <name val="Calibri Light"/>
      <family val="2"/>
      <scheme val="major"/>
    </font>
    <font>
      <b/>
      <sz val="11"/>
      <color rgb="FF0070C0"/>
      <name val="Calibri Light"/>
      <family val="2"/>
      <scheme val="major"/>
    </font>
    <font>
      <sz val="11"/>
      <color rgb="FF3366FF"/>
      <name val="Calibri Light"/>
      <family val="2"/>
      <scheme val="major"/>
    </font>
    <font>
      <b/>
      <sz val="11"/>
      <color rgb="FF3366FF"/>
      <name val="Calibri Light"/>
      <family val="2"/>
      <scheme val="major"/>
    </font>
    <font>
      <b/>
      <sz val="11"/>
      <color theme="0"/>
      <name val="Calibri Light"/>
      <family val="2"/>
      <scheme val="major"/>
    </font>
    <font>
      <b/>
      <sz val="11"/>
      <color rgb="FFFF0000"/>
      <name val="Calibri Light"/>
      <family val="2"/>
      <scheme val="major"/>
    </font>
    <font>
      <b/>
      <sz val="11"/>
      <color rgb="FF00B050"/>
      <name val="Calibri Light"/>
      <family val="2"/>
      <scheme val="major"/>
    </font>
    <font>
      <b/>
      <sz val="11"/>
      <name val="Calibri Light"/>
      <family val="2"/>
      <scheme val="major"/>
    </font>
    <font>
      <b/>
      <sz val="11"/>
      <color rgb="FF7030A0"/>
      <name val="Calibri Light"/>
      <family val="2"/>
      <scheme val="major"/>
    </font>
    <font>
      <sz val="11"/>
      <color theme="0"/>
      <name val="Calibri Light"/>
      <family val="2"/>
      <scheme val="major"/>
    </font>
    <font>
      <b/>
      <sz val="11"/>
      <color rgb="FF00FF00"/>
      <name val="Calibri Light"/>
      <family val="2"/>
      <scheme val="major"/>
    </font>
    <font>
      <b/>
      <sz val="11"/>
      <color rgb="FF7890F0"/>
      <name val="Calibri Light"/>
      <family val="2"/>
      <scheme val="major"/>
    </font>
    <font>
      <sz val="12"/>
      <color theme="1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theme="2" tint="-9.9978637043366805E-2"/>
      <name val="Arial"/>
      <family val="2"/>
    </font>
    <font>
      <b/>
      <sz val="11"/>
      <color rgb="FF00FF00"/>
      <name val="Arial"/>
      <family val="2"/>
    </font>
    <font>
      <b/>
      <sz val="12"/>
      <color rgb="FF00FF00"/>
      <name val="Arial"/>
      <family val="2"/>
    </font>
    <font>
      <b/>
      <sz val="11"/>
      <color rgb="FFFFFF00"/>
      <name val="Calibri"/>
      <family val="2"/>
      <scheme val="minor"/>
    </font>
    <font>
      <b/>
      <sz val="9"/>
      <color rgb="FF4F4F4F"/>
      <name val="Verdana"/>
      <family val="2"/>
    </font>
    <font>
      <sz val="11"/>
      <color rgb="FF00008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D0D0D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EF2A03"/>
        <bgColor indexed="64"/>
      </patternFill>
    </fill>
    <fill>
      <patternFill patternType="solid">
        <fgColor theme="0" tint="-0.14999847407452621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theme="2" tint="-0.249977111117893"/>
      </left>
      <right style="thin">
        <color theme="2" tint="-0.249977111117893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  <border>
      <left/>
      <right style="thin">
        <color theme="2" tint="-0.249977111117893"/>
      </right>
      <top/>
      <bottom/>
      <diagonal/>
    </border>
    <border>
      <left/>
      <right/>
      <top style="thin">
        <color theme="2" tint="-0.249977111117893"/>
      </top>
      <bottom/>
      <diagonal/>
    </border>
    <border>
      <left/>
      <right/>
      <top/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2" tint="-0.249977111117893"/>
      </right>
      <top/>
      <bottom style="thin">
        <color theme="2" tint="-0.249977111117893"/>
      </bottom>
      <diagonal/>
    </border>
    <border>
      <left style="thin">
        <color theme="2" tint="-0.249977111117893"/>
      </left>
      <right/>
      <top/>
      <bottom/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2" tint="-0.249977111117893"/>
      </left>
      <right/>
      <top style="thin">
        <color theme="2" tint="-0.249977111117893"/>
      </top>
      <bottom/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2" tint="-0.249977111117893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2" tint="-0.249977111117893"/>
      </left>
      <right style="thin">
        <color indexed="64"/>
      </right>
      <top style="thin">
        <color theme="2" tint="-0.249977111117893"/>
      </top>
      <bottom/>
      <diagonal/>
    </border>
    <border>
      <left style="thin">
        <color theme="2" tint="-0.249977111117893"/>
      </left>
      <right style="thin">
        <color indexed="64"/>
      </right>
      <top/>
      <bottom/>
      <diagonal/>
    </border>
    <border>
      <left style="thin">
        <color theme="2" tint="-0.249977111117893"/>
      </left>
      <right style="thin">
        <color indexed="64"/>
      </right>
      <top/>
      <bottom style="thin">
        <color theme="2" tint="-0.249977111117893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9" fillId="0" borderId="0"/>
  </cellStyleXfs>
  <cellXfs count="450">
    <xf numFmtId="0" fontId="0" fillId="0" borderId="0" xfId="0"/>
    <xf numFmtId="164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 wrapText="1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wrapText="1"/>
    </xf>
    <xf numFmtId="0" fontId="0" fillId="0" borderId="0" xfId="0" applyAlignment="1">
      <alignment horizontal="left" wrapText="1"/>
    </xf>
    <xf numFmtId="0" fontId="0" fillId="0" borderId="1" xfId="0" applyBorder="1"/>
    <xf numFmtId="0" fontId="0" fillId="0" borderId="2" xfId="0" applyBorder="1" applyAlignment="1">
      <alignment horizontal="left" wrapText="1"/>
    </xf>
    <xf numFmtId="0" fontId="0" fillId="0" borderId="0" xfId="0" applyAlignment="1">
      <alignment vertical="center"/>
    </xf>
    <xf numFmtId="0" fontId="1" fillId="0" borderId="2" xfId="0" applyFont="1" applyBorder="1" applyAlignment="1">
      <alignment horizontal="center" wrapText="1"/>
    </xf>
    <xf numFmtId="0" fontId="0" fillId="0" borderId="2" xfId="0" applyBorder="1" applyAlignment="1">
      <alignment wrapText="1"/>
    </xf>
    <xf numFmtId="0" fontId="1" fillId="0" borderId="6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right"/>
    </xf>
    <xf numFmtId="0" fontId="0" fillId="0" borderId="1" xfId="0" applyBorder="1" applyAlignment="1">
      <alignment wrapText="1"/>
    </xf>
    <xf numFmtId="0" fontId="0" fillId="5" borderId="1" xfId="0" applyFill="1" applyBorder="1" applyAlignment="1">
      <alignment wrapText="1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vertical="center"/>
    </xf>
    <xf numFmtId="0" fontId="1" fillId="0" borderId="1" xfId="0" applyFont="1" applyBorder="1"/>
    <xf numFmtId="49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6" fillId="0" borderId="1" xfId="0" applyFont="1" applyBorder="1"/>
    <xf numFmtId="0" fontId="13" fillId="0" borderId="0" xfId="0" applyFont="1" applyAlignment="1">
      <alignment wrapText="1"/>
    </xf>
    <xf numFmtId="0" fontId="13" fillId="6" borderId="0" xfId="0" applyFont="1" applyFill="1" applyAlignment="1">
      <alignment horizontal="center" wrapText="1"/>
    </xf>
    <xf numFmtId="0" fontId="13" fillId="6" borderId="0" xfId="0" applyFont="1" applyFill="1" applyAlignment="1">
      <alignment horizontal="center" vertical="center" wrapText="1"/>
    </xf>
    <xf numFmtId="0" fontId="6" fillId="0" borderId="0" xfId="0" applyFont="1"/>
    <xf numFmtId="0" fontId="12" fillId="0" borderId="2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6" fillId="0" borderId="2" xfId="0" applyFont="1" applyBorder="1"/>
    <xf numFmtId="0" fontId="1" fillId="0" borderId="1" xfId="0" applyFont="1" applyBorder="1" applyAlignment="1">
      <alignment horizontal="center" wrapText="1"/>
    </xf>
    <xf numFmtId="164" fontId="0" fillId="0" borderId="1" xfId="0" applyNumberFormat="1" applyBorder="1" applyAlignment="1">
      <alignment horizontal="center" wrapText="1"/>
    </xf>
    <xf numFmtId="0" fontId="12" fillId="0" borderId="2" xfId="0" applyFont="1" applyBorder="1" applyAlignment="1">
      <alignment horizontal="center" wrapText="1"/>
    </xf>
    <xf numFmtId="0" fontId="11" fillId="0" borderId="2" xfId="0" applyFont="1" applyBorder="1" applyAlignment="1">
      <alignment horizontal="center" wrapText="1"/>
    </xf>
    <xf numFmtId="0" fontId="8" fillId="0" borderId="2" xfId="0" applyFont="1" applyBorder="1" applyAlignment="1">
      <alignment horizontal="center" wrapText="1"/>
    </xf>
    <xf numFmtId="0" fontId="6" fillId="0" borderId="1" xfId="0" applyFont="1" applyBorder="1" applyAlignment="1">
      <alignment wrapText="1"/>
    </xf>
    <xf numFmtId="0" fontId="6" fillId="0" borderId="0" xfId="0" applyFont="1" applyAlignment="1">
      <alignment wrapText="1"/>
    </xf>
    <xf numFmtId="0" fontId="13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7" fillId="0" borderId="1" xfId="0" applyFont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14" fillId="6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/>
    </xf>
    <xf numFmtId="0" fontId="1" fillId="0" borderId="0" xfId="0" applyFont="1"/>
    <xf numFmtId="0" fontId="1" fillId="0" borderId="2" xfId="0" applyFont="1" applyBorder="1"/>
    <xf numFmtId="0" fontId="1" fillId="0" borderId="0" xfId="0" applyFont="1" applyAlignment="1">
      <alignment horizontal="center" vertical="center"/>
    </xf>
    <xf numFmtId="3" fontId="0" fillId="0" borderId="0" xfId="0" applyNumberFormat="1"/>
    <xf numFmtId="165" fontId="0" fillId="0" borderId="1" xfId="0" applyNumberFormat="1" applyBorder="1"/>
    <xf numFmtId="166" fontId="0" fillId="0" borderId="1" xfId="0" applyNumberFormat="1" applyBorder="1"/>
    <xf numFmtId="165" fontId="0" fillId="0" borderId="0" xfId="0" applyNumberFormat="1"/>
    <xf numFmtId="0" fontId="5" fillId="8" borderId="11" xfId="0" applyFont="1" applyFill="1" applyBorder="1"/>
    <xf numFmtId="44" fontId="0" fillId="0" borderId="10" xfId="0" applyNumberFormat="1" applyBorder="1"/>
    <xf numFmtId="44" fontId="0" fillId="0" borderId="1" xfId="0" applyNumberFormat="1" applyBorder="1"/>
    <xf numFmtId="0" fontId="0" fillId="0" borderId="12" xfId="0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 wrapText="1"/>
    </xf>
    <xf numFmtId="0" fontId="15" fillId="0" borderId="0" xfId="0" applyFont="1"/>
    <xf numFmtId="0" fontId="5" fillId="4" borderId="1" xfId="0" applyFont="1" applyFill="1" applyBorder="1"/>
    <xf numFmtId="0" fontId="5" fillId="8" borderId="14" xfId="0" applyFont="1" applyFill="1" applyBorder="1" applyAlignment="1">
      <alignment horizontal="center" vertical="center" wrapText="1"/>
    </xf>
    <xf numFmtId="0" fontId="5" fillId="8" borderId="15" xfId="0" applyFont="1" applyFill="1" applyBorder="1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164" fontId="1" fillId="0" borderId="1" xfId="0" applyNumberFormat="1" applyFont="1" applyBorder="1" applyAlignment="1">
      <alignment horizontal="left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6" fillId="0" borderId="1" xfId="0" applyFont="1" applyBorder="1" applyAlignment="1">
      <alignment horizontal="center"/>
    </xf>
    <xf numFmtId="0" fontId="16" fillId="0" borderId="0" xfId="0" applyFont="1"/>
    <xf numFmtId="3" fontId="0" fillId="0" borderId="0" xfId="0" applyNumberFormat="1" applyAlignment="1">
      <alignment wrapText="1"/>
    </xf>
    <xf numFmtId="0" fontId="13" fillId="6" borderId="7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wrapText="1"/>
    </xf>
    <xf numFmtId="1" fontId="0" fillId="0" borderId="0" xfId="0" applyNumberFormat="1"/>
    <xf numFmtId="0" fontId="14" fillId="6" borderId="18" xfId="0" applyFont="1" applyFill="1" applyBorder="1" applyAlignment="1">
      <alignment horizontal="center" vertical="center" wrapText="1"/>
    </xf>
    <xf numFmtId="0" fontId="17" fillId="0" borderId="0" xfId="0" applyFont="1"/>
    <xf numFmtId="0" fontId="0" fillId="0" borderId="0" xfId="0" quotePrefix="1"/>
    <xf numFmtId="0" fontId="13" fillId="6" borderId="18" xfId="0" applyFont="1" applyFill="1" applyBorder="1" applyAlignment="1">
      <alignment horizontal="center" wrapText="1"/>
    </xf>
    <xf numFmtId="0" fontId="13" fillId="6" borderId="18" xfId="0" applyFont="1" applyFill="1" applyBorder="1" applyAlignment="1">
      <alignment horizontal="center" vertical="center" wrapText="1"/>
    </xf>
    <xf numFmtId="0" fontId="12" fillId="0" borderId="1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11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14" fontId="0" fillId="0" borderId="1" xfId="0" applyNumberFormat="1" applyBorder="1"/>
    <xf numFmtId="14" fontId="0" fillId="0" borderId="1" xfId="0" applyNumberFormat="1" applyBorder="1" applyAlignment="1">
      <alignment vertical="center"/>
    </xf>
    <xf numFmtId="14" fontId="0" fillId="0" borderId="1" xfId="0" applyNumberFormat="1" applyBorder="1" applyAlignment="1">
      <alignment horizontal="left" vertical="center" wrapText="1"/>
    </xf>
    <xf numFmtId="0" fontId="5" fillId="6" borderId="1" xfId="0" applyFont="1" applyFill="1" applyBorder="1" applyAlignment="1">
      <alignment horizontal="center"/>
    </xf>
    <xf numFmtId="0" fontId="0" fillId="0" borderId="1" xfId="0" applyBorder="1" applyAlignment="1">
      <alignment vertical="center" wrapText="1"/>
    </xf>
    <xf numFmtId="0" fontId="0" fillId="0" borderId="19" xfId="0" applyBorder="1" applyAlignment="1">
      <alignment horizontal="center" vertical="center"/>
    </xf>
    <xf numFmtId="0" fontId="20" fillId="0" borderId="1" xfId="0" applyFont="1" applyBorder="1" applyAlignment="1">
      <alignment horizontal="center"/>
    </xf>
    <xf numFmtId="0" fontId="0" fillId="0" borderId="19" xfId="0" applyBorder="1" applyAlignment="1">
      <alignment vertical="center" wrapText="1"/>
    </xf>
    <xf numFmtId="0" fontId="0" fillId="0" borderId="17" xfId="0" applyBorder="1" applyAlignment="1">
      <alignment vertical="center" wrapText="1"/>
    </xf>
    <xf numFmtId="6" fontId="0" fillId="0" borderId="0" xfId="0" applyNumberFormat="1"/>
    <xf numFmtId="6" fontId="1" fillId="0" borderId="0" xfId="0" applyNumberFormat="1" applyFont="1"/>
    <xf numFmtId="0" fontId="14" fillId="6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3" fillId="6" borderId="20" xfId="0" applyFont="1" applyFill="1" applyBorder="1" applyAlignment="1">
      <alignment horizontal="center" vertical="center" wrapText="1"/>
    </xf>
    <xf numFmtId="0" fontId="13" fillId="6" borderId="21" xfId="0" applyFont="1" applyFill="1" applyBorder="1" applyAlignment="1">
      <alignment horizontal="center" vertical="center" wrapText="1"/>
    </xf>
    <xf numFmtId="0" fontId="13" fillId="6" borderId="1" xfId="0" applyFont="1" applyFill="1" applyBorder="1" applyAlignment="1">
      <alignment horizontal="center" vertical="center" wrapText="1"/>
    </xf>
    <xf numFmtId="0" fontId="12" fillId="0" borderId="1" xfId="0" applyFont="1" applyBorder="1" applyAlignment="1">
      <alignment horizontal="center" wrapText="1"/>
    </xf>
    <xf numFmtId="0" fontId="11" fillId="0" borderId="1" xfId="0" applyFont="1" applyBorder="1" applyAlignment="1">
      <alignment horizontal="center" wrapText="1"/>
    </xf>
    <xf numFmtId="0" fontId="8" fillId="0" borderId="1" xfId="0" applyFont="1" applyBorder="1" applyAlignment="1">
      <alignment horizontal="center" wrapText="1"/>
    </xf>
    <xf numFmtId="0" fontId="20" fillId="0" borderId="1" xfId="0" applyFont="1" applyBorder="1" applyAlignment="1">
      <alignment horizontal="center" wrapText="1"/>
    </xf>
    <xf numFmtId="0" fontId="1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left" wrapText="1"/>
    </xf>
    <xf numFmtId="0" fontId="22" fillId="0" borderId="1" xfId="0" applyFont="1" applyBorder="1" applyAlignment="1">
      <alignment horizontal="center" wrapText="1"/>
    </xf>
    <xf numFmtId="0" fontId="20" fillId="0" borderId="1" xfId="0" applyFont="1" applyBorder="1" applyAlignment="1">
      <alignment horizontal="center" vertical="center" wrapText="1"/>
    </xf>
    <xf numFmtId="0" fontId="13" fillId="6" borderId="20" xfId="0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0" fontId="1" fillId="0" borderId="19" xfId="0" applyFont="1" applyBorder="1" applyAlignment="1">
      <alignment horizontal="center" vertical="center" wrapText="1"/>
    </xf>
    <xf numFmtId="0" fontId="14" fillId="6" borderId="1" xfId="0" applyFont="1" applyFill="1" applyBorder="1" applyAlignment="1">
      <alignment horizontal="center" vertical="center" wrapText="1"/>
    </xf>
    <xf numFmtId="0" fontId="14" fillId="6" borderId="18" xfId="0" applyFont="1" applyFill="1" applyBorder="1" applyAlignment="1">
      <alignment horizontal="center" wrapText="1"/>
    </xf>
    <xf numFmtId="0" fontId="9" fillId="6" borderId="18" xfId="0" applyFont="1" applyFill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1" fillId="0" borderId="5" xfId="0" applyFont="1" applyBorder="1" applyAlignment="1">
      <alignment horizontal="center" wrapText="1"/>
    </xf>
    <xf numFmtId="0" fontId="9" fillId="6" borderId="1" xfId="0" applyFont="1" applyFill="1" applyBorder="1" applyAlignment="1">
      <alignment horizontal="center" wrapText="1"/>
    </xf>
    <xf numFmtId="0" fontId="9" fillId="6" borderId="18" xfId="0" applyFont="1" applyFill="1" applyBorder="1" applyAlignment="1">
      <alignment horizontal="center" vertical="center" wrapText="1"/>
    </xf>
    <xf numFmtId="0" fontId="0" fillId="0" borderId="2" xfId="0" applyBorder="1" applyAlignment="1">
      <alignment vertical="center"/>
    </xf>
    <xf numFmtId="0" fontId="14" fillId="6" borderId="20" xfId="0" applyFont="1" applyFill="1" applyBorder="1" applyAlignment="1">
      <alignment horizontal="center" vertical="center" wrapText="1"/>
    </xf>
    <xf numFmtId="0" fontId="0" fillId="0" borderId="4" xfId="0" applyBorder="1"/>
    <xf numFmtId="0" fontId="0" fillId="0" borderId="4" xfId="0" applyBorder="1" applyAlignment="1">
      <alignment horizontal="left" wrapText="1"/>
    </xf>
    <xf numFmtId="0" fontId="1" fillId="0" borderId="0" xfId="0" applyFont="1" applyAlignment="1">
      <alignment vertical="center" wrapText="1"/>
    </xf>
    <xf numFmtId="0" fontId="0" fillId="0" borderId="26" xfId="0" applyBorder="1"/>
    <xf numFmtId="0" fontId="0" fillId="0" borderId="4" xfId="0" applyBorder="1" applyAlignment="1">
      <alignment horizontal="left" vertical="center" wrapText="1"/>
    </xf>
    <xf numFmtId="0" fontId="13" fillId="6" borderId="1" xfId="0" applyFont="1" applyFill="1" applyBorder="1" applyAlignment="1">
      <alignment horizontal="center" wrapText="1"/>
    </xf>
    <xf numFmtId="0" fontId="12" fillId="0" borderId="1" xfId="0" applyFont="1" applyBorder="1" applyAlignment="1">
      <alignment horizontal="center" vertical="center"/>
    </xf>
    <xf numFmtId="0" fontId="22" fillId="0" borderId="0" xfId="0" applyFont="1" applyAlignment="1">
      <alignment horizontal="center" wrapText="1"/>
    </xf>
    <xf numFmtId="0" fontId="22" fillId="0" borderId="1" xfId="0" applyFont="1" applyBorder="1" applyAlignment="1">
      <alignment horizontal="center" vertical="center" wrapText="1"/>
    </xf>
    <xf numFmtId="0" fontId="0" fillId="0" borderId="24" xfId="0" applyBorder="1"/>
    <xf numFmtId="164" fontId="1" fillId="0" borderId="1" xfId="0" applyNumberFormat="1" applyFon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0" fontId="23" fillId="6" borderId="1" xfId="0" applyFont="1" applyFill="1" applyBorder="1" applyAlignment="1">
      <alignment horizontal="center" vertical="center" wrapText="1"/>
    </xf>
    <xf numFmtId="164" fontId="23" fillId="6" borderId="1" xfId="0" applyNumberFormat="1" applyFont="1" applyFill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/>
    </xf>
    <xf numFmtId="0" fontId="13" fillId="6" borderId="31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1" fillId="7" borderId="0" xfId="0" applyFont="1" applyFill="1"/>
    <xf numFmtId="0" fontId="1" fillId="0" borderId="0" xfId="0" applyFont="1" applyAlignment="1">
      <alignment horizontal="center" vertical="center" wrapText="1"/>
    </xf>
    <xf numFmtId="0" fontId="1" fillId="7" borderId="1" xfId="0" applyFont="1" applyFill="1" applyBorder="1" applyAlignment="1">
      <alignment horizontal="center"/>
    </xf>
    <xf numFmtId="0" fontId="14" fillId="6" borderId="18" xfId="0" applyFont="1" applyFill="1" applyBorder="1" applyAlignment="1">
      <alignment vertical="center"/>
    </xf>
    <xf numFmtId="0" fontId="0" fillId="0" borderId="29" xfId="0" applyBorder="1"/>
    <xf numFmtId="0" fontId="24" fillId="0" borderId="0" xfId="0" applyFont="1"/>
    <xf numFmtId="0" fontId="26" fillId="11" borderId="1" xfId="0" applyFont="1" applyFill="1" applyBorder="1" applyAlignment="1">
      <alignment vertical="center"/>
    </xf>
    <xf numFmtId="0" fontId="27" fillId="0" borderId="1" xfId="0" applyFont="1" applyBorder="1" applyAlignment="1">
      <alignment vertical="center"/>
    </xf>
    <xf numFmtId="0" fontId="3" fillId="5" borderId="1" xfId="0" applyFont="1" applyFill="1" applyBorder="1" applyAlignment="1">
      <alignment vertical="center"/>
    </xf>
    <xf numFmtId="0" fontId="27" fillId="10" borderId="1" xfId="0" applyFont="1" applyFill="1" applyBorder="1" applyAlignment="1">
      <alignment vertical="center"/>
    </xf>
    <xf numFmtId="0" fontId="26" fillId="11" borderId="1" xfId="0" applyFont="1" applyFill="1" applyBorder="1" applyAlignment="1">
      <alignment horizontal="center" vertical="center"/>
    </xf>
    <xf numFmtId="0" fontId="13" fillId="6" borderId="18" xfId="0" applyFont="1" applyFill="1" applyBorder="1" applyAlignment="1">
      <alignment horizontal="center" vertical="center"/>
    </xf>
    <xf numFmtId="0" fontId="10" fillId="6" borderId="18" xfId="0" applyFont="1" applyFill="1" applyBorder="1" applyAlignment="1">
      <alignment horizontal="center" wrapText="1"/>
    </xf>
    <xf numFmtId="0" fontId="28" fillId="0" borderId="1" xfId="0" applyFont="1" applyBorder="1" applyAlignment="1">
      <alignment horizontal="center"/>
    </xf>
    <xf numFmtId="0" fontId="28" fillId="0" borderId="0" xfId="0" applyFont="1" applyAlignment="1">
      <alignment horizontal="center"/>
    </xf>
    <xf numFmtId="0" fontId="29" fillId="0" borderId="0" xfId="0" applyFont="1"/>
    <xf numFmtId="0" fontId="29" fillId="0" borderId="1" xfId="0" applyFont="1" applyBorder="1" applyAlignment="1">
      <alignment horizontal="center"/>
    </xf>
    <xf numFmtId="0" fontId="29" fillId="0" borderId="0" xfId="0" applyFont="1" applyAlignment="1">
      <alignment horizontal="center"/>
    </xf>
    <xf numFmtId="164" fontId="29" fillId="0" borderId="1" xfId="0" applyNumberFormat="1" applyFont="1" applyBorder="1" applyAlignment="1">
      <alignment horizontal="center"/>
    </xf>
    <xf numFmtId="1" fontId="29" fillId="0" borderId="1" xfId="0" applyNumberFormat="1" applyFont="1" applyBorder="1" applyAlignment="1">
      <alignment horizontal="center"/>
    </xf>
    <xf numFmtId="0" fontId="28" fillId="3" borderId="0" xfId="0" applyFont="1" applyFill="1" applyAlignment="1">
      <alignment horizontal="center" vertical="center"/>
    </xf>
    <xf numFmtId="0" fontId="29" fillId="0" borderId="1" xfId="0" applyFont="1" applyBorder="1" applyAlignment="1">
      <alignment horizontal="center" vertical="center" wrapText="1"/>
    </xf>
    <xf numFmtId="0" fontId="29" fillId="0" borderId="0" xfId="0" applyFont="1" applyAlignment="1">
      <alignment wrapText="1"/>
    </xf>
    <xf numFmtId="0" fontId="30" fillId="0" borderId="2" xfId="0" applyFont="1" applyBorder="1" applyAlignment="1">
      <alignment horizontal="center" wrapText="1"/>
    </xf>
    <xf numFmtId="164" fontId="28" fillId="0" borderId="1" xfId="0" applyNumberFormat="1" applyFont="1" applyBorder="1" applyAlignment="1">
      <alignment horizontal="center"/>
    </xf>
    <xf numFmtId="0" fontId="31" fillId="0" borderId="0" xfId="0" applyFont="1"/>
    <xf numFmtId="0" fontId="32" fillId="6" borderId="18" xfId="0" applyFont="1" applyFill="1" applyBorder="1" applyAlignment="1">
      <alignment horizontal="center"/>
    </xf>
    <xf numFmtId="0" fontId="29" fillId="0" borderId="1" xfId="0" applyFont="1" applyBorder="1"/>
    <xf numFmtId="0" fontId="30" fillId="0" borderId="1" xfId="0" applyFont="1" applyBorder="1" applyAlignment="1">
      <alignment horizontal="center"/>
    </xf>
    <xf numFmtId="0" fontId="33" fillId="0" borderId="1" xfId="0" applyFont="1" applyBorder="1" applyAlignment="1">
      <alignment horizontal="center"/>
    </xf>
    <xf numFmtId="0" fontId="34" fillId="0" borderId="1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wrapText="1"/>
    </xf>
    <xf numFmtId="0" fontId="30" fillId="0" borderId="1" xfId="0" applyFont="1" applyBorder="1" applyAlignment="1">
      <alignment horizontal="center" wrapText="1"/>
    </xf>
    <xf numFmtId="0" fontId="34" fillId="0" borderId="1" xfId="0" applyFont="1" applyBorder="1" applyAlignment="1">
      <alignment horizontal="center" wrapText="1"/>
    </xf>
    <xf numFmtId="0" fontId="30" fillId="0" borderId="0" xfId="0" applyFont="1" applyAlignment="1">
      <alignment horizontal="center" wrapText="1"/>
    </xf>
    <xf numFmtId="0" fontId="35" fillId="0" borderId="1" xfId="0" applyFont="1" applyBorder="1" applyAlignment="1">
      <alignment horizontal="center" wrapText="1"/>
    </xf>
    <xf numFmtId="0" fontId="37" fillId="0" borderId="1" xfId="0" applyFont="1" applyBorder="1" applyAlignment="1">
      <alignment horizontal="center" wrapText="1"/>
    </xf>
    <xf numFmtId="0" fontId="37" fillId="0" borderId="0" xfId="0" applyFont="1" applyAlignment="1">
      <alignment horizontal="center" wrapText="1"/>
    </xf>
    <xf numFmtId="0" fontId="32" fillId="6" borderId="0" xfId="0" applyFont="1" applyFill="1" applyAlignment="1">
      <alignment horizontal="center"/>
    </xf>
    <xf numFmtId="0" fontId="36" fillId="0" borderId="1" xfId="0" applyFont="1" applyBorder="1" applyAlignment="1">
      <alignment horizontal="center" vertical="center" wrapText="1"/>
    </xf>
    <xf numFmtId="0" fontId="29" fillId="0" borderId="2" xfId="0" applyFont="1" applyBorder="1"/>
    <xf numFmtId="0" fontId="38" fillId="0" borderId="2" xfId="0" applyFont="1" applyBorder="1" applyAlignment="1">
      <alignment wrapText="1"/>
    </xf>
    <xf numFmtId="0" fontId="29" fillId="0" borderId="2" xfId="0" applyFont="1" applyBorder="1" applyAlignment="1">
      <alignment wrapText="1"/>
    </xf>
    <xf numFmtId="0" fontId="30" fillId="0" borderId="5" xfId="0" applyFont="1" applyBorder="1" applyAlignment="1">
      <alignment vertical="center" wrapText="1"/>
    </xf>
    <xf numFmtId="0" fontId="36" fillId="0" borderId="1" xfId="0" applyFont="1" applyBorder="1" applyAlignment="1">
      <alignment horizontal="center" wrapText="1"/>
    </xf>
    <xf numFmtId="0" fontId="29" fillId="0" borderId="0" xfId="0" applyFont="1" applyAlignment="1">
      <alignment horizontal="left" vertical="center"/>
    </xf>
    <xf numFmtId="0" fontId="32" fillId="6" borderId="18" xfId="0" applyFont="1" applyFill="1" applyBorder="1" applyAlignment="1">
      <alignment horizontal="center" vertical="center" wrapText="1"/>
    </xf>
    <xf numFmtId="0" fontId="29" fillId="0" borderId="1" xfId="0" applyFont="1" applyBorder="1" applyAlignment="1">
      <alignment horizontal="left" vertical="center"/>
    </xf>
    <xf numFmtId="0" fontId="29" fillId="0" borderId="1" xfId="0" applyFont="1" applyBorder="1" applyAlignment="1">
      <alignment horizontal="left" vertical="center" wrapText="1"/>
    </xf>
    <xf numFmtId="0" fontId="29" fillId="0" borderId="2" xfId="0" applyFont="1" applyBorder="1" applyAlignment="1">
      <alignment horizontal="center" vertical="center" wrapText="1"/>
    </xf>
    <xf numFmtId="0" fontId="28" fillId="0" borderId="1" xfId="0" applyFont="1" applyBorder="1" applyAlignment="1">
      <alignment vertical="center" wrapText="1"/>
    </xf>
    <xf numFmtId="0" fontId="32" fillId="6" borderId="18" xfId="0" applyFont="1" applyFill="1" applyBorder="1" applyAlignment="1">
      <alignment horizontal="center" wrapText="1"/>
    </xf>
    <xf numFmtId="0" fontId="29" fillId="0" borderId="1" xfId="0" applyFont="1" applyBorder="1" applyAlignment="1">
      <alignment horizontal="left"/>
    </xf>
    <xf numFmtId="0" fontId="32" fillId="6" borderId="0" xfId="0" applyFont="1" applyFill="1" applyAlignment="1">
      <alignment horizontal="center" wrapText="1"/>
    </xf>
    <xf numFmtId="0" fontId="39" fillId="6" borderId="18" xfId="0" applyFont="1" applyFill="1" applyBorder="1" applyAlignment="1">
      <alignment horizontal="center" wrapText="1"/>
    </xf>
    <xf numFmtId="0" fontId="29" fillId="0" borderId="1" xfId="0" applyFont="1" applyBorder="1" applyAlignment="1">
      <alignment horizontal="left" wrapText="1"/>
    </xf>
    <xf numFmtId="0" fontId="28" fillId="0" borderId="2" xfId="0" applyFont="1" applyBorder="1" applyAlignment="1">
      <alignment horizontal="center" wrapText="1"/>
    </xf>
    <xf numFmtId="0" fontId="29" fillId="0" borderId="0" xfId="0" applyFont="1" applyAlignment="1">
      <alignment horizontal="left" wrapText="1"/>
    </xf>
    <xf numFmtId="0" fontId="38" fillId="0" borderId="1" xfId="0" applyFont="1" applyBorder="1"/>
    <xf numFmtId="0" fontId="29" fillId="0" borderId="4" xfId="0" applyFont="1" applyBorder="1"/>
    <xf numFmtId="0" fontId="32" fillId="0" borderId="2" xfId="0" applyFont="1" applyBorder="1" applyAlignment="1">
      <alignment horizontal="center" wrapText="1"/>
    </xf>
    <xf numFmtId="0" fontId="28" fillId="0" borderId="1" xfId="0" applyFont="1" applyBorder="1" applyAlignment="1">
      <alignment horizontal="center" vertical="center"/>
    </xf>
    <xf numFmtId="0" fontId="31" fillId="0" borderId="2" xfId="0" applyFont="1" applyBorder="1"/>
    <xf numFmtId="0" fontId="29" fillId="0" borderId="4" xfId="0" applyFont="1" applyBorder="1" applyAlignment="1">
      <alignment horizontal="left" wrapText="1"/>
    </xf>
    <xf numFmtId="0" fontId="29" fillId="0" borderId="0" xfId="0" applyFont="1" applyAlignment="1">
      <alignment vertical="center" wrapText="1"/>
    </xf>
    <xf numFmtId="0" fontId="29" fillId="0" borderId="1" xfId="0" applyFont="1" applyBorder="1" applyAlignment="1">
      <alignment horizontal="center" wrapText="1"/>
    </xf>
    <xf numFmtId="0" fontId="33" fillId="6" borderId="1" xfId="0" applyFont="1" applyFill="1" applyBorder="1" applyAlignment="1">
      <alignment horizontal="center" vertical="center"/>
    </xf>
    <xf numFmtId="0" fontId="28" fillId="7" borderId="0" xfId="0" applyFont="1" applyFill="1" applyAlignment="1">
      <alignment horizontal="center"/>
    </xf>
    <xf numFmtId="0" fontId="40" fillId="6" borderId="31" xfId="0" applyFont="1" applyFill="1" applyBorder="1" applyAlignment="1">
      <alignment horizontal="center" vertical="center" wrapText="1"/>
    </xf>
    <xf numFmtId="0" fontId="18" fillId="0" borderId="1" xfId="0" applyFont="1" applyBorder="1"/>
    <xf numFmtId="0" fontId="41" fillId="0" borderId="1" xfId="0" applyFont="1" applyBorder="1"/>
    <xf numFmtId="0" fontId="0" fillId="0" borderId="10" xfId="0" applyBorder="1" applyAlignment="1">
      <alignment horizontal="center" vertical="center"/>
    </xf>
    <xf numFmtId="0" fontId="0" fillId="9" borderId="0" xfId="0" applyFill="1"/>
    <xf numFmtId="0" fontId="21" fillId="0" borderId="1" xfId="0" applyFont="1" applyBorder="1" applyAlignment="1">
      <alignment horizontal="left" vertical="center"/>
    </xf>
    <xf numFmtId="0" fontId="2" fillId="0" borderId="23" xfId="0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0" fillId="12" borderId="1" xfId="0" applyFill="1" applyBorder="1" applyAlignment="1">
      <alignment wrapText="1"/>
    </xf>
    <xf numFmtId="164" fontId="0" fillId="0" borderId="1" xfId="0" applyNumberFormat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164" fontId="1" fillId="12" borderId="29" xfId="0" applyNumberFormat="1" applyFont="1" applyFill="1" applyBorder="1" applyAlignment="1">
      <alignment horizontal="center" vertical="center"/>
    </xf>
    <xf numFmtId="164" fontId="1" fillId="12" borderId="1" xfId="0" applyNumberFormat="1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1" fillId="12" borderId="1" xfId="0" applyFont="1" applyFill="1" applyBorder="1" applyAlignment="1">
      <alignment horizontal="center" vertical="center"/>
    </xf>
    <xf numFmtId="0" fontId="8" fillId="12" borderId="1" xfId="0" applyFont="1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 vertical="center"/>
    </xf>
    <xf numFmtId="167" fontId="0" fillId="0" borderId="12" xfId="0" applyNumberFormat="1" applyBorder="1" applyAlignment="1">
      <alignment horizontal="center" vertical="center"/>
    </xf>
    <xf numFmtId="0" fontId="5" fillId="8" borderId="1" xfId="0" applyFont="1" applyFill="1" applyBorder="1"/>
    <xf numFmtId="0" fontId="0" fillId="13" borderId="1" xfId="0" applyFill="1" applyBorder="1" applyAlignment="1">
      <alignment horizontal="center"/>
    </xf>
    <xf numFmtId="0" fontId="21" fillId="0" borderId="1" xfId="1" applyFont="1" applyBorder="1" applyAlignment="1">
      <alignment vertical="center"/>
    </xf>
    <xf numFmtId="0" fontId="0" fillId="6" borderId="1" xfId="0" applyFill="1" applyBorder="1"/>
    <xf numFmtId="0" fontId="43" fillId="0" borderId="1" xfId="0" applyFont="1" applyBorder="1" applyAlignment="1">
      <alignment horizontal="center" vertical="center" wrapText="1"/>
    </xf>
    <xf numFmtId="0" fontId="43" fillId="0" borderId="1" xfId="0" applyFont="1" applyBorder="1" applyAlignment="1">
      <alignment horizontal="center" wrapText="1"/>
    </xf>
    <xf numFmtId="0" fontId="43" fillId="0" borderId="1" xfId="0" applyFont="1" applyBorder="1" applyAlignment="1">
      <alignment wrapText="1"/>
    </xf>
    <xf numFmtId="0" fontId="44" fillId="0" borderId="0" xfId="0" applyFont="1" applyAlignment="1">
      <alignment horizontal="center" vertical="center" wrapText="1"/>
    </xf>
    <xf numFmtId="0" fontId="43" fillId="0" borderId="0" xfId="0" applyFont="1" applyAlignment="1">
      <alignment horizontal="center" vertical="center" wrapText="1"/>
    </xf>
    <xf numFmtId="0" fontId="43" fillId="0" borderId="0" xfId="0" applyFont="1" applyAlignment="1">
      <alignment wrapText="1"/>
    </xf>
    <xf numFmtId="0" fontId="46" fillId="6" borderId="1" xfId="0" applyFont="1" applyFill="1" applyBorder="1" applyAlignment="1">
      <alignment horizontal="center" vertical="center" wrapText="1"/>
    </xf>
    <xf numFmtId="0" fontId="47" fillId="6" borderId="1" xfId="0" applyFont="1" applyFill="1" applyBorder="1" applyAlignment="1">
      <alignment horizontal="center" vertical="center" wrapText="1"/>
    </xf>
    <xf numFmtId="0" fontId="46" fillId="6" borderId="1" xfId="0" applyFont="1" applyFill="1" applyBorder="1" applyAlignment="1">
      <alignment horizontal="center" vertical="center"/>
    </xf>
    <xf numFmtId="0" fontId="44" fillId="0" borderId="1" xfId="0" applyFont="1" applyBorder="1" applyAlignment="1">
      <alignment horizontal="center" wrapText="1"/>
    </xf>
    <xf numFmtId="0" fontId="43" fillId="0" borderId="1" xfId="0" applyFont="1" applyBorder="1" applyAlignment="1">
      <alignment vertical="center" wrapText="1"/>
    </xf>
    <xf numFmtId="0" fontId="46" fillId="6" borderId="36" xfId="0" applyFont="1" applyFill="1" applyBorder="1"/>
    <xf numFmtId="0" fontId="45" fillId="6" borderId="36" xfId="0" applyFont="1" applyFill="1" applyBorder="1" applyAlignment="1">
      <alignment vertical="center" wrapText="1"/>
    </xf>
    <xf numFmtId="0" fontId="43" fillId="0" borderId="1" xfId="0" applyFont="1" applyBorder="1" applyAlignment="1">
      <alignment horizontal="left" vertical="center"/>
    </xf>
    <xf numFmtId="0" fontId="45" fillId="6" borderId="1" xfId="0" applyFont="1" applyFill="1" applyBorder="1" applyAlignment="1">
      <alignment horizontal="center" vertical="center" wrapText="1"/>
    </xf>
    <xf numFmtId="0" fontId="41" fillId="0" borderId="1" xfId="0" applyFont="1" applyBorder="1" applyAlignment="1">
      <alignment horizontal="center" vertical="center" wrapText="1"/>
    </xf>
    <xf numFmtId="0" fontId="0" fillId="14" borderId="1" xfId="0" applyFill="1" applyBorder="1" applyAlignment="1">
      <alignment horizontal="left" vertical="center" wrapText="1"/>
    </xf>
    <xf numFmtId="44" fontId="0" fillId="0" borderId="0" xfId="0" applyNumberFormat="1"/>
    <xf numFmtId="21" fontId="0" fillId="0" borderId="0" xfId="0" applyNumberFormat="1"/>
    <xf numFmtId="0" fontId="50" fillId="0" borderId="0" xfId="0" applyFont="1"/>
    <xf numFmtId="0" fontId="2" fillId="0" borderId="1" xfId="0" applyFont="1" applyBorder="1"/>
    <xf numFmtId="0" fontId="13" fillId="6" borderId="29" xfId="0" applyFont="1" applyFill="1" applyBorder="1" applyAlignment="1">
      <alignment horizontal="center" wrapText="1"/>
    </xf>
    <xf numFmtId="0" fontId="13" fillId="6" borderId="29" xfId="0" applyFont="1" applyFill="1" applyBorder="1" applyAlignment="1">
      <alignment horizontal="center" vertical="center" wrapText="1"/>
    </xf>
    <xf numFmtId="0" fontId="14" fillId="6" borderId="29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12" fillId="0" borderId="10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 wrapText="1"/>
    </xf>
    <xf numFmtId="0" fontId="20" fillId="0" borderId="10" xfId="0" applyFont="1" applyBorder="1" applyAlignment="1">
      <alignment horizont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/>
    </xf>
    <xf numFmtId="0" fontId="0" fillId="0" borderId="37" xfId="0" applyBorder="1" applyAlignment="1">
      <alignment wrapText="1"/>
    </xf>
    <xf numFmtId="0" fontId="0" fillId="0" borderId="38" xfId="0" applyBorder="1"/>
    <xf numFmtId="0" fontId="0" fillId="0" borderId="38" xfId="0" applyBorder="1" applyAlignment="1">
      <alignment wrapText="1"/>
    </xf>
    <xf numFmtId="0" fontId="0" fillId="0" borderId="41" xfId="0" applyBorder="1" applyAlignment="1">
      <alignment horizontal="center" vertical="center" wrapText="1"/>
    </xf>
    <xf numFmtId="0" fontId="0" fillId="0" borderId="41" xfId="0" applyBorder="1" applyAlignment="1">
      <alignment wrapText="1"/>
    </xf>
    <xf numFmtId="0" fontId="0" fillId="0" borderId="41" xfId="0" applyBorder="1" applyAlignment="1">
      <alignment horizontal="left" vertical="center" wrapText="1"/>
    </xf>
    <xf numFmtId="0" fontId="0" fillId="0" borderId="41" xfId="0" applyBorder="1" applyAlignment="1">
      <alignment horizontal="left" vertical="center"/>
    </xf>
    <xf numFmtId="0" fontId="0" fillId="0" borderId="41" xfId="0" applyBorder="1" applyAlignment="1">
      <alignment horizontal="left" wrapText="1"/>
    </xf>
    <xf numFmtId="0" fontId="0" fillId="0" borderId="41" xfId="0" applyBorder="1" applyAlignment="1">
      <alignment vertical="center" wrapText="1"/>
    </xf>
    <xf numFmtId="0" fontId="0" fillId="0" borderId="41" xfId="0" applyBorder="1" applyAlignment="1">
      <alignment vertical="center"/>
    </xf>
    <xf numFmtId="0" fontId="0" fillId="12" borderId="41" xfId="0" applyFill="1" applyBorder="1" applyAlignment="1">
      <alignment wrapText="1"/>
    </xf>
    <xf numFmtId="0" fontId="16" fillId="0" borderId="0" xfId="0" applyFont="1" applyAlignment="1">
      <alignment vertical="center"/>
    </xf>
    <xf numFmtId="0" fontId="0" fillId="5" borderId="0" xfId="0" applyFill="1"/>
    <xf numFmtId="0" fontId="0" fillId="10" borderId="0" xfId="0" applyFill="1"/>
    <xf numFmtId="0" fontId="1" fillId="12" borderId="1" xfId="0" applyFont="1" applyFill="1" applyBorder="1" applyAlignment="1">
      <alignment horizontal="center" vertical="center"/>
    </xf>
    <xf numFmtId="0" fontId="0" fillId="0" borderId="34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1" fontId="0" fillId="0" borderId="29" xfId="0" applyNumberFormat="1" applyBorder="1" applyAlignment="1">
      <alignment horizontal="center" vertical="center"/>
    </xf>
    <xf numFmtId="1" fontId="0" fillId="0" borderId="30" xfId="0" applyNumberFormat="1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1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3" fillId="6" borderId="1" xfId="0" applyFont="1" applyFill="1" applyBorder="1" applyAlignment="1">
      <alignment horizontal="center" vertical="center" wrapText="1"/>
    </xf>
    <xf numFmtId="0" fontId="8" fillId="0" borderId="19" xfId="0" applyFont="1" applyBorder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3" fillId="6" borderId="7" xfId="0" applyFont="1" applyFill="1" applyBorder="1" applyAlignment="1">
      <alignment horizontal="center" vertical="center" wrapText="1"/>
    </xf>
    <xf numFmtId="0" fontId="13" fillId="6" borderId="0" xfId="0" applyFont="1" applyFill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13" fillId="6" borderId="25" xfId="0" applyFont="1" applyFill="1" applyBorder="1" applyAlignment="1">
      <alignment horizontal="center" vertical="center" wrapText="1"/>
    </xf>
    <xf numFmtId="0" fontId="13" fillId="6" borderId="28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3" fillId="6" borderId="29" xfId="0" applyFont="1" applyFill="1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0" fillId="0" borderId="38" xfId="0" applyBorder="1" applyAlignment="1">
      <alignment horizontal="center" vertical="center" wrapText="1"/>
    </xf>
    <xf numFmtId="0" fontId="0" fillId="0" borderId="40" xfId="0" applyBorder="1" applyAlignment="1">
      <alignment horizontal="center" vertical="center" wrapText="1"/>
    </xf>
    <xf numFmtId="0" fontId="0" fillId="0" borderId="41" xfId="0" applyBorder="1" applyAlignment="1">
      <alignment horizontal="center" vertical="center" wrapText="1"/>
    </xf>
    <xf numFmtId="0" fontId="6" fillId="0" borderId="29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8" fillId="0" borderId="27" xfId="0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 wrapText="1"/>
    </xf>
    <xf numFmtId="0" fontId="14" fillId="6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wrapText="1"/>
    </xf>
    <xf numFmtId="0" fontId="13" fillId="6" borderId="19" xfId="0" applyFont="1" applyFill="1" applyBorder="1" applyAlignment="1">
      <alignment horizontal="center" vertical="center" wrapText="1"/>
    </xf>
    <xf numFmtId="0" fontId="13" fillId="6" borderId="23" xfId="0" applyFont="1" applyFill="1" applyBorder="1" applyAlignment="1">
      <alignment horizontal="center" vertical="center" wrapText="1"/>
    </xf>
    <xf numFmtId="0" fontId="13" fillId="6" borderId="22" xfId="0" applyFont="1" applyFill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4" fillId="6" borderId="31" xfId="0" applyFont="1" applyFill="1" applyBorder="1" applyAlignment="1">
      <alignment horizontal="center" vertical="center" wrapText="1"/>
    </xf>
    <xf numFmtId="0" fontId="14" fillId="6" borderId="32" xfId="0" applyFont="1" applyFill="1" applyBorder="1" applyAlignment="1">
      <alignment horizontal="center" vertical="center" wrapText="1"/>
    </xf>
    <xf numFmtId="0" fontId="14" fillId="6" borderId="33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4" fillId="6" borderId="3" xfId="0" applyFont="1" applyFill="1" applyBorder="1" applyAlignment="1">
      <alignment horizontal="center" vertical="center" wrapText="1"/>
    </xf>
    <xf numFmtId="0" fontId="14" fillId="6" borderId="4" xfId="0" applyFont="1" applyFill="1" applyBorder="1" applyAlignment="1">
      <alignment horizontal="center" vertical="center" wrapText="1"/>
    </xf>
    <xf numFmtId="0" fontId="14" fillId="6" borderId="6" xfId="0" applyFont="1" applyFill="1" applyBorder="1" applyAlignment="1">
      <alignment horizontal="center" vertical="center" wrapText="1"/>
    </xf>
    <xf numFmtId="0" fontId="14" fillId="6" borderId="16" xfId="0" applyFont="1" applyFill="1" applyBorder="1" applyAlignment="1">
      <alignment horizontal="center" vertical="center" wrapText="1"/>
    </xf>
    <xf numFmtId="0" fontId="14" fillId="6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14" fillId="6" borderId="0" xfId="0" applyFont="1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9" fillId="6" borderId="7" xfId="0" applyFont="1" applyFill="1" applyBorder="1" applyAlignment="1">
      <alignment horizontal="center" vertical="center" wrapText="1"/>
    </xf>
    <xf numFmtId="0" fontId="9" fillId="6" borderId="0" xfId="0" applyFont="1" applyFill="1" applyAlignment="1">
      <alignment horizontal="center" vertical="center" wrapText="1"/>
    </xf>
    <xf numFmtId="0" fontId="9" fillId="6" borderId="8" xfId="0" applyFont="1" applyFill="1" applyBorder="1" applyAlignment="1">
      <alignment horizontal="center" vertical="center" wrapText="1"/>
    </xf>
    <xf numFmtId="0" fontId="14" fillId="6" borderId="7" xfId="0" applyFont="1" applyFill="1" applyBorder="1" applyAlignment="1">
      <alignment horizontal="center" vertical="center" wrapText="1"/>
    </xf>
    <xf numFmtId="0" fontId="9" fillId="6" borderId="18" xfId="0" applyFont="1" applyFill="1" applyBorder="1" applyAlignment="1">
      <alignment horizontal="center" vertical="center"/>
    </xf>
    <xf numFmtId="0" fontId="14" fillId="6" borderId="20" xfId="0" applyFont="1" applyFill="1" applyBorder="1" applyAlignment="1">
      <alignment horizontal="center" vertical="center"/>
    </xf>
    <xf numFmtId="0" fontId="14" fillId="6" borderId="17" xfId="0" applyFont="1" applyFill="1" applyBorder="1" applyAlignment="1">
      <alignment horizontal="center" vertical="center"/>
    </xf>
    <xf numFmtId="0" fontId="14" fillId="6" borderId="2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 wrapText="1"/>
    </xf>
    <xf numFmtId="0" fontId="26" fillId="11" borderId="29" xfId="0" applyFont="1" applyFill="1" applyBorder="1" applyAlignment="1">
      <alignment horizontal="center" vertical="center"/>
    </xf>
    <xf numFmtId="0" fontId="26" fillId="11" borderId="10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0" fontId="25" fillId="8" borderId="29" xfId="0" applyFont="1" applyFill="1" applyBorder="1" applyAlignment="1">
      <alignment horizontal="center" vertical="center"/>
    </xf>
    <xf numFmtId="0" fontId="25" fillId="8" borderId="30" xfId="0" applyFont="1" applyFill="1" applyBorder="1" applyAlignment="1">
      <alignment horizontal="center" vertical="center"/>
    </xf>
    <xf numFmtId="0" fontId="25" fillId="8" borderId="10" xfId="0" applyFont="1" applyFill="1" applyBorder="1" applyAlignment="1">
      <alignment horizontal="center" vertical="center"/>
    </xf>
    <xf numFmtId="0" fontId="14" fillId="6" borderId="20" xfId="0" applyFont="1" applyFill="1" applyBorder="1" applyAlignment="1">
      <alignment horizontal="center" vertical="center" wrapText="1"/>
    </xf>
    <xf numFmtId="0" fontId="14" fillId="6" borderId="17" xfId="0" applyFont="1" applyFill="1" applyBorder="1" applyAlignment="1">
      <alignment horizontal="center" vertical="center" wrapText="1"/>
    </xf>
    <xf numFmtId="0" fontId="14" fillId="6" borderId="2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4" fillId="6" borderId="18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3" fillId="6" borderId="18" xfId="0" applyFont="1" applyFill="1" applyBorder="1" applyAlignment="1">
      <alignment horizontal="center" vertical="center" wrapText="1"/>
    </xf>
    <xf numFmtId="0" fontId="13" fillId="6" borderId="6" xfId="0" applyFont="1" applyFill="1" applyBorder="1" applyAlignment="1">
      <alignment horizontal="center" vertical="center" wrapText="1"/>
    </xf>
    <xf numFmtId="0" fontId="13" fillId="6" borderId="20" xfId="0" applyFont="1" applyFill="1" applyBorder="1" applyAlignment="1">
      <alignment horizontal="center" vertical="center" wrapText="1"/>
    </xf>
    <xf numFmtId="0" fontId="13" fillId="6" borderId="17" xfId="0" applyFont="1" applyFill="1" applyBorder="1" applyAlignment="1">
      <alignment horizontal="center" vertical="center" wrapText="1"/>
    </xf>
    <xf numFmtId="0" fontId="13" fillId="6" borderId="21" xfId="0" applyFont="1" applyFill="1" applyBorder="1" applyAlignment="1">
      <alignment horizontal="center" vertical="center" wrapText="1"/>
    </xf>
    <xf numFmtId="0" fontId="13" fillId="6" borderId="8" xfId="0" applyFont="1" applyFill="1" applyBorder="1" applyAlignment="1">
      <alignment horizontal="center" vertical="center" wrapText="1"/>
    </xf>
    <xf numFmtId="0" fontId="14" fillId="6" borderId="9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29" fillId="0" borderId="2" xfId="0" applyFont="1" applyBorder="1" applyAlignment="1">
      <alignment horizontal="center" vertical="center" wrapText="1"/>
    </xf>
    <xf numFmtId="0" fontId="28" fillId="2" borderId="2" xfId="0" applyFont="1" applyFill="1" applyBorder="1" applyAlignment="1">
      <alignment horizontal="center" wrapText="1"/>
    </xf>
    <xf numFmtId="0" fontId="28" fillId="0" borderId="1" xfId="0" applyFont="1" applyBorder="1" applyAlignment="1">
      <alignment horizontal="center" vertical="center" wrapText="1"/>
    </xf>
    <xf numFmtId="0" fontId="39" fillId="6" borderId="7" xfId="0" applyFont="1" applyFill="1" applyBorder="1" applyAlignment="1">
      <alignment horizontal="center" vertical="center" wrapText="1"/>
    </xf>
    <xf numFmtId="0" fontId="39" fillId="6" borderId="0" xfId="0" applyFont="1" applyFill="1" applyAlignment="1">
      <alignment horizontal="center" vertical="center" wrapText="1"/>
    </xf>
    <xf numFmtId="0" fontId="39" fillId="6" borderId="8" xfId="0" applyFont="1" applyFill="1" applyBorder="1" applyAlignment="1">
      <alignment horizontal="center" vertical="center" wrapText="1"/>
    </xf>
    <xf numFmtId="0" fontId="40" fillId="6" borderId="9" xfId="0" applyFont="1" applyFill="1" applyBorder="1" applyAlignment="1">
      <alignment horizontal="center" vertical="center" wrapText="1"/>
    </xf>
    <xf numFmtId="0" fontId="40" fillId="6" borderId="6" xfId="0" applyFont="1" applyFill="1" applyBorder="1" applyAlignment="1">
      <alignment horizontal="center" vertical="center" wrapText="1"/>
    </xf>
    <xf numFmtId="0" fontId="40" fillId="6" borderId="4" xfId="0" applyFont="1" applyFill="1" applyBorder="1" applyAlignment="1">
      <alignment horizontal="center" vertical="center" wrapText="1"/>
    </xf>
    <xf numFmtId="0" fontId="28" fillId="3" borderId="0" xfId="0" applyFont="1" applyFill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6" borderId="0" xfId="0" applyFont="1" applyFill="1" applyAlignment="1">
      <alignment horizontal="center" vertical="center"/>
    </xf>
    <xf numFmtId="0" fontId="32" fillId="6" borderId="7" xfId="0" applyFont="1" applyFill="1" applyBorder="1" applyAlignment="1">
      <alignment horizontal="center" vertical="center" wrapText="1"/>
    </xf>
    <xf numFmtId="0" fontId="32" fillId="6" borderId="0" xfId="0" applyFont="1" applyFill="1" applyAlignment="1">
      <alignment horizontal="center" vertical="center" wrapText="1"/>
    </xf>
    <xf numFmtId="0" fontId="39" fillId="6" borderId="18" xfId="0" applyFont="1" applyFill="1" applyBorder="1" applyAlignment="1">
      <alignment horizontal="center" vertical="center"/>
    </xf>
    <xf numFmtId="0" fontId="32" fillId="6" borderId="20" xfId="0" applyFont="1" applyFill="1" applyBorder="1" applyAlignment="1">
      <alignment horizontal="center" vertical="center"/>
    </xf>
    <xf numFmtId="0" fontId="32" fillId="6" borderId="17" xfId="0" applyFont="1" applyFill="1" applyBorder="1" applyAlignment="1">
      <alignment horizontal="center" vertical="center"/>
    </xf>
    <xf numFmtId="0" fontId="32" fillId="6" borderId="21" xfId="0" applyFont="1" applyFill="1" applyBorder="1" applyAlignment="1">
      <alignment horizontal="center" vertical="center"/>
    </xf>
    <xf numFmtId="0" fontId="32" fillId="6" borderId="20" xfId="0" applyFont="1" applyFill="1" applyBorder="1" applyAlignment="1">
      <alignment horizontal="center" vertical="center" wrapText="1"/>
    </xf>
    <xf numFmtId="0" fontId="32" fillId="6" borderId="17" xfId="0" applyFont="1" applyFill="1" applyBorder="1" applyAlignment="1">
      <alignment horizontal="center" vertical="center" wrapText="1"/>
    </xf>
    <xf numFmtId="0" fontId="32" fillId="6" borderId="18" xfId="0" applyFont="1" applyFill="1" applyBorder="1" applyAlignment="1">
      <alignment horizontal="center" vertical="center" wrapText="1"/>
    </xf>
    <xf numFmtId="0" fontId="28" fillId="7" borderId="0" xfId="0" applyFont="1" applyFill="1" applyAlignment="1">
      <alignment horizontal="center" vertical="center"/>
    </xf>
    <xf numFmtId="0" fontId="29" fillId="0" borderId="1" xfId="0" applyFont="1" applyBorder="1" applyAlignment="1">
      <alignment horizontal="center" vertical="center" wrapText="1"/>
    </xf>
    <xf numFmtId="0" fontId="40" fillId="6" borderId="27" xfId="0" applyFont="1" applyFill="1" applyBorder="1" applyAlignment="1">
      <alignment horizontal="center" vertical="center" wrapText="1"/>
    </xf>
    <xf numFmtId="0" fontId="40" fillId="6" borderId="25" xfId="0" applyFont="1" applyFill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 wrapText="1"/>
    </xf>
    <xf numFmtId="0" fontId="40" fillId="6" borderId="18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0" fillId="0" borderId="34" xfId="0" applyBorder="1" applyAlignment="1">
      <alignment horizontal="center"/>
    </xf>
    <xf numFmtId="0" fontId="0" fillId="0" borderId="12" xfId="0" applyBorder="1" applyAlignment="1">
      <alignment horizontal="center"/>
    </xf>
    <xf numFmtId="0" fontId="14" fillId="6" borderId="19" xfId="0" applyFont="1" applyFill="1" applyBorder="1" applyAlignment="1">
      <alignment horizontal="center"/>
    </xf>
    <xf numFmtId="0" fontId="14" fillId="6" borderId="1" xfId="0" applyFont="1" applyFill="1" applyBorder="1" applyAlignment="1">
      <alignment horizontal="center"/>
    </xf>
    <xf numFmtId="0" fontId="9" fillId="6" borderId="6" xfId="0" applyFont="1" applyFill="1" applyBorder="1" applyAlignment="1">
      <alignment horizontal="center" vertical="center"/>
    </xf>
    <xf numFmtId="0" fontId="10" fillId="6" borderId="6" xfId="0" applyFont="1" applyFill="1" applyBorder="1" applyAlignment="1">
      <alignment horizontal="center" vertical="center"/>
    </xf>
    <xf numFmtId="0" fontId="10" fillId="6" borderId="20" xfId="0" applyFont="1" applyFill="1" applyBorder="1" applyAlignment="1">
      <alignment horizontal="center" vertical="center"/>
    </xf>
    <xf numFmtId="0" fontId="10" fillId="6" borderId="17" xfId="0" applyFont="1" applyFill="1" applyBorder="1" applyAlignment="1">
      <alignment horizontal="center" vertical="center"/>
    </xf>
    <xf numFmtId="0" fontId="10" fillId="6" borderId="21" xfId="0" applyFont="1" applyFill="1" applyBorder="1" applyAlignment="1">
      <alignment horizontal="center" vertical="center"/>
    </xf>
    <xf numFmtId="0" fontId="9" fillId="6" borderId="19" xfId="0" applyFont="1" applyFill="1" applyBorder="1" applyAlignment="1">
      <alignment horizontal="center"/>
    </xf>
    <xf numFmtId="0" fontId="9" fillId="6" borderId="25" xfId="0" applyFont="1" applyFill="1" applyBorder="1" applyAlignment="1">
      <alignment horizontal="center" vertical="center"/>
    </xf>
    <xf numFmtId="0" fontId="9" fillId="6" borderId="12" xfId="0" applyFont="1" applyFill="1" applyBorder="1" applyAlignment="1">
      <alignment horizontal="center" vertical="center"/>
    </xf>
    <xf numFmtId="0" fontId="14" fillId="6" borderId="25" xfId="0" applyFont="1" applyFill="1" applyBorder="1" applyAlignment="1">
      <alignment horizontal="center" vertical="center"/>
    </xf>
    <xf numFmtId="167" fontId="0" fillId="0" borderId="10" xfId="0" applyNumberFormat="1" applyBorder="1" applyAlignment="1">
      <alignment horizontal="center" vertical="center"/>
    </xf>
    <xf numFmtId="44" fontId="0" fillId="0" borderId="1" xfId="0" applyNumberFormat="1" applyBorder="1" applyAlignment="1">
      <alignment horizontal="center"/>
    </xf>
    <xf numFmtId="0" fontId="14" fillId="6" borderId="0" xfId="0" applyFont="1" applyFill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48" fillId="8" borderId="0" xfId="0" applyFont="1" applyFill="1" applyAlignment="1">
      <alignment horizontal="center" vertical="center"/>
    </xf>
    <xf numFmtId="0" fontId="48" fillId="8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49" fillId="0" borderId="1" xfId="0" applyFont="1" applyBorder="1" applyAlignment="1">
      <alignment horizontal="center"/>
    </xf>
    <xf numFmtId="0" fontId="45" fillId="6" borderId="1" xfId="0" applyFont="1" applyFill="1" applyBorder="1" applyAlignment="1">
      <alignment horizontal="center" vertical="center" wrapText="1"/>
    </xf>
    <xf numFmtId="0" fontId="46" fillId="6" borderId="1" xfId="0" applyFont="1" applyFill="1" applyBorder="1" applyAlignment="1">
      <alignment horizontal="center" vertical="center" wrapText="1"/>
    </xf>
    <xf numFmtId="0" fontId="47" fillId="6" borderId="1" xfId="0" applyFont="1" applyFill="1" applyBorder="1" applyAlignment="1">
      <alignment horizontal="center" vertical="center" wrapText="1"/>
    </xf>
    <xf numFmtId="0" fontId="46" fillId="6" borderId="19" xfId="0" applyFont="1" applyFill="1" applyBorder="1" applyAlignment="1">
      <alignment horizontal="center" vertical="center" wrapText="1"/>
    </xf>
    <xf numFmtId="0" fontId="46" fillId="6" borderId="23" xfId="0" applyFont="1" applyFill="1" applyBorder="1" applyAlignment="1">
      <alignment horizontal="center" vertical="center" wrapText="1"/>
    </xf>
    <xf numFmtId="0" fontId="46" fillId="6" borderId="22" xfId="0" applyFont="1" applyFill="1" applyBorder="1" applyAlignment="1">
      <alignment horizontal="center" vertical="center" wrapText="1"/>
    </xf>
    <xf numFmtId="0" fontId="45" fillId="6" borderId="19" xfId="0" applyFont="1" applyFill="1" applyBorder="1" applyAlignment="1">
      <alignment horizontal="center" vertical="center" wrapText="1"/>
    </xf>
    <xf numFmtId="0" fontId="45" fillId="6" borderId="23" xfId="0" applyFont="1" applyFill="1" applyBorder="1" applyAlignment="1">
      <alignment horizontal="center" vertical="center" wrapText="1"/>
    </xf>
    <xf numFmtId="0" fontId="45" fillId="6" borderId="22" xfId="0" applyFont="1" applyFill="1" applyBorder="1" applyAlignment="1">
      <alignment horizontal="center" vertical="center" wrapText="1"/>
    </xf>
    <xf numFmtId="0" fontId="43" fillId="0" borderId="1" xfId="0" applyFont="1" applyBorder="1" applyAlignment="1">
      <alignment horizontal="center" vertical="center" wrapText="1"/>
    </xf>
    <xf numFmtId="0" fontId="43" fillId="0" borderId="1" xfId="0" applyFont="1" applyBorder="1" applyAlignment="1">
      <alignment horizontal="center" wrapText="1"/>
    </xf>
  </cellXfs>
  <cellStyles count="2">
    <cellStyle name="Normal" xfId="0" builtinId="0"/>
    <cellStyle name="Normal 2" xfId="1" xr:uid="{525438AB-3744-4FF4-B120-C293A8C8A26F}"/>
  </cellStyles>
  <dxfs count="5">
    <dxf>
      <font>
        <color rgb="FFC00000"/>
      </font>
      <fill>
        <patternFill>
          <bgColor rgb="FFFF99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0000"/>
      <color rgb="FF00FF00"/>
      <color rgb="FFEF2A03"/>
      <color rgb="FFFD8067"/>
      <color rgb="FFFF7C80"/>
      <color rgb="FF7890F0"/>
      <color rgb="FF3366FF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$L$44" lockText="1" noThreeD="1"/>
</file>

<file path=xl/ctrlProps/ctrlProp2.xml><?xml version="1.0" encoding="utf-8"?>
<formControlPr xmlns="http://schemas.microsoft.com/office/spreadsheetml/2009/9/main" objectType="CheckBox" checked="Checked" fmlaLink="$L$45" lockText="1" noThreeD="1"/>
</file>

<file path=xl/ctrlProps/ctrlProp3.xml><?xml version="1.0" encoding="utf-8"?>
<formControlPr xmlns="http://schemas.microsoft.com/office/spreadsheetml/2009/9/main" objectType="CheckBox" fmlaLink="$L$46" lockText="1" noThreeD="1"/>
</file>

<file path=xl/ctrlProps/ctrlProp4.xml><?xml version="1.0" encoding="utf-8"?>
<formControlPr xmlns="http://schemas.microsoft.com/office/spreadsheetml/2009/9/main" objectType="CheckBox" checked="Checked" fmlaLink="$B$12" lockText="1" noThreeD="1"/>
</file>

<file path=xl/ctrlProps/ctrlProp5.xml><?xml version="1.0" encoding="utf-8"?>
<formControlPr xmlns="http://schemas.microsoft.com/office/spreadsheetml/2009/9/main" objectType="CheckBox" checked="Checked" fmlaLink="$B$13" lockText="1" noThreeD="1"/>
</file>

<file path=xl/ctrlProps/ctrlProp6.xml><?xml version="1.0" encoding="utf-8"?>
<formControlPr xmlns="http://schemas.microsoft.com/office/spreadsheetml/2009/9/main" objectType="CheckBox" checked="Checked" fmlaLink="$B$14" lockText="1" noThreeD="1"/>
</file>

<file path=xl/ctrlProps/ctrlProp7.xml><?xml version="1.0" encoding="utf-8"?>
<formControlPr xmlns="http://schemas.microsoft.com/office/spreadsheetml/2009/9/main" objectType="CheckBox" checked="Checked" fmlaLink="$B$17" lockText="1" noThreeD="1"/>
</file>

<file path=xl/ctrlProps/ctrlProp8.xml><?xml version="1.0" encoding="utf-8"?>
<formControlPr xmlns="http://schemas.microsoft.com/office/spreadsheetml/2009/9/main" objectType="CheckBox" fmlaLink="$B$18" lockText="1" noThreeD="1"/>
</file>

<file path=xl/ctrlProps/ctrlProp9.xml><?xml version="1.0" encoding="utf-8"?>
<formControlPr xmlns="http://schemas.microsoft.com/office/spreadsheetml/2009/9/main" objectType="CheckBox" fmlaLink="$B$15" lockText="1" noThreeD="1"/>
</file>

<file path=xl/ctrlProps/ctrlProp10.xml><?xml version="1.0" encoding="utf-8"?>
<formControlPr xmlns="http://schemas.microsoft.com/office/spreadsheetml/2009/9/main" objectType="CheckBox" checked="Checked" fmlaLink="#REF!" lockText="1" noThreeD="1"/>
</file>

<file path=xl/ctrlProps/ctrlProp11.xml><?xml version="1.0" encoding="utf-8"?>
<formControlPr xmlns="http://schemas.microsoft.com/office/spreadsheetml/2009/9/main" objectType="CheckBox" checked="Checked" fmlaLink="#REF!" lockText="1" noThreeD="1"/>
</file>

<file path=xl/ctrlProps/ctrlProp12.xml><?xml version="1.0" encoding="utf-8"?>
<formControlPr xmlns="http://schemas.microsoft.com/office/spreadsheetml/2009/9/main" objectType="CheckBox" checked="Checked" fmlaLink="#REF!" lockText="1" noThreeD="1"/>
</file>

<file path=xl/ctrlProps/ctrlProp13.xml><?xml version="1.0" encoding="utf-8"?>
<formControlPr xmlns="http://schemas.microsoft.com/office/spreadsheetml/2009/9/main" objectType="CheckBox" fmlaLink="$L$45" lockText="1" noThreeD="1"/>
</file>

<file path=xl/ctrlProps/ctrlProp14.xml><?xml version="1.0" encoding="utf-8"?>
<formControlPr xmlns="http://schemas.microsoft.com/office/spreadsheetml/2009/9/main" objectType="CheckBox" checked="Checked" fmlaLink="$L$46" lockText="1" noThreeD="1"/>
</file>

<file path=xl/ctrlProps/ctrlProp15.xml><?xml version="1.0" encoding="utf-8"?>
<formControlPr xmlns="http://schemas.microsoft.com/office/spreadsheetml/2009/9/main" objectType="CheckBox" fmlaLink="$L$47" lockText="1" noThreeD="1"/>
</file>

<file path=xl/ctrlProps/ctrlProp16.xml><?xml version="1.0" encoding="utf-8"?>
<formControlPr xmlns="http://schemas.microsoft.com/office/spreadsheetml/2009/9/main" objectType="CheckBox" checked="Checked" fmlaLink="$B$12" lockText="1" noThreeD="1"/>
</file>

<file path=xl/ctrlProps/ctrlProp17.xml><?xml version="1.0" encoding="utf-8"?>
<formControlPr xmlns="http://schemas.microsoft.com/office/spreadsheetml/2009/9/main" objectType="CheckBox" checked="Checked" fmlaLink="$B$13" lockText="1" noThreeD="1"/>
</file>

<file path=xl/ctrlProps/ctrlProp18.xml><?xml version="1.0" encoding="utf-8"?>
<formControlPr xmlns="http://schemas.microsoft.com/office/spreadsheetml/2009/9/main" objectType="CheckBox" checked="Checked" fmlaLink="$B$15" lockText="1" noThreeD="1"/>
</file>

<file path=xl/ctrlProps/ctrlProp19.xml><?xml version="1.0" encoding="utf-8"?>
<formControlPr xmlns="http://schemas.microsoft.com/office/spreadsheetml/2009/9/main" objectType="CheckBox" checked="Checked" fmlaLink="$B$18" lockText="1" noThreeD="1"/>
</file>

<file path=xl/ctrlProps/ctrlProp20.xml><?xml version="1.0" encoding="utf-8"?>
<formControlPr xmlns="http://schemas.microsoft.com/office/spreadsheetml/2009/9/main" objectType="CheckBox" fmlaLink="$B$19" lockText="1" noThreeD="1"/>
</file>

<file path=xl/ctrlProps/ctrlProp21.xml><?xml version="1.0" encoding="utf-8"?>
<formControlPr xmlns="http://schemas.microsoft.com/office/spreadsheetml/2009/9/main" objectType="CheckBox" fmlaLink="$B$16" lockText="1" noThreeD="1"/>
</file>

<file path=xl/ctrlProps/ctrlProp22.xml><?xml version="1.0" encoding="utf-8"?>
<formControlPr xmlns="http://schemas.microsoft.com/office/spreadsheetml/2009/9/main" objectType="CheckBox" checked="Checked" fmlaLink="$B$14" lockText="1" noThreeD="1"/>
</file>

<file path=xl/ctrlProps/ctrlProp23.xml><?xml version="1.0" encoding="utf-8"?>
<formControlPr xmlns="http://schemas.microsoft.com/office/spreadsheetml/2009/9/main" objectType="CheckBox" checked="Checked" fmlaLink="$L$39" lockText="1" noThreeD="1"/>
</file>

<file path=xl/ctrlProps/ctrlProp24.xml><?xml version="1.0" encoding="utf-8"?>
<formControlPr xmlns="http://schemas.microsoft.com/office/spreadsheetml/2009/9/main" objectType="CheckBox" checked="Checked" fmlaLink="$L$40" lockText="1" noThreeD="1"/>
</file>

<file path=xl/ctrlProps/ctrlProp25.xml><?xml version="1.0" encoding="utf-8"?>
<formControlPr xmlns="http://schemas.microsoft.com/office/spreadsheetml/2009/9/main" objectType="CheckBox" checked="Checked" fmlaLink="$L$41" lockText="1" noThreeD="1"/>
</file>

<file path=xl/ctrlProps/ctrlProp26.xml><?xml version="1.0" encoding="utf-8"?>
<formControlPr xmlns="http://schemas.microsoft.com/office/spreadsheetml/2009/9/main" objectType="CheckBox" checked="Checked" fmlaLink="$B$17" lockText="1" noThreeD="1"/>
</file>

<file path=xl/ctrlProps/ctrlProp27.xml><?xml version="1.0" encoding="utf-8"?>
<formControlPr xmlns="http://schemas.microsoft.com/office/spreadsheetml/2009/9/main" objectType="CheckBox" checked="Checked" fmlaLink="$B$18" lockText="1" noThreeD="1"/>
</file>

<file path=xl/ctrlProps/ctrlProp28.xml><?xml version="1.0" encoding="utf-8"?>
<formControlPr xmlns="http://schemas.microsoft.com/office/spreadsheetml/2009/9/main" objectType="CheckBox" checked="Checked" fmlaLink="$B$19" lockText="1" noThreeD="1"/>
</file>

<file path=xl/ctrlProps/ctrlProp29.xml><?xml version="1.0" encoding="utf-8"?>
<formControlPr xmlns="http://schemas.microsoft.com/office/spreadsheetml/2009/9/main" objectType="CheckBox" fmlaLink="$B$20" lockText="1" noThreeD="1"/>
</file>

<file path=xl/ctrlProps/ctrlProp30.xml><?xml version="1.0" encoding="utf-8"?>
<formControlPr xmlns="http://schemas.microsoft.com/office/spreadsheetml/2009/9/main" objectType="CheckBox" checked="Checked" fmlaLink="$B$21" lockText="1" noThreeD="1"/>
</file>

<file path=xl/ctrlProps/ctrlProp31.xml><?xml version="1.0" encoding="utf-8"?>
<formControlPr xmlns="http://schemas.microsoft.com/office/spreadsheetml/2009/9/main" objectType="CheckBox" checked="Checked" fmlaLink="$B$22" lockText="1" noThreeD="1"/>
</file>

<file path=xl/ctrlProps/ctrlProp32.xml><?xml version="1.0" encoding="utf-8"?>
<formControlPr xmlns="http://schemas.microsoft.com/office/spreadsheetml/2009/9/main" objectType="CheckBox" checked="Checked" fmlaLink="$B$25" lockText="1" noThreeD="1"/>
</file>

<file path=xl/ctrlProps/ctrlProp33.xml><?xml version="1.0" encoding="utf-8"?>
<formControlPr xmlns="http://schemas.microsoft.com/office/spreadsheetml/2009/9/main" objectType="CheckBox" fmlaLink="$B$26" lockText="1" noThreeD="1"/>
</file>

<file path=xl/ctrlProps/ctrlProp34.xml><?xml version="1.0" encoding="utf-8"?>
<formControlPr xmlns="http://schemas.microsoft.com/office/spreadsheetml/2009/9/main" objectType="CheckBox" checked="Checked" fmlaLink="$B$18" lockText="1" noThreeD="1"/>
</file>

<file path=xl/ctrlProps/ctrlProp35.xml><?xml version="1.0" encoding="utf-8"?>
<formControlPr xmlns="http://schemas.microsoft.com/office/spreadsheetml/2009/9/main" objectType="CheckBox" checked="Checked" fmlaLink="$B$19" lockText="1" noThreeD="1"/>
</file>

<file path=xl/ctrlProps/ctrlProp36.xml><?xml version="1.0" encoding="utf-8"?>
<formControlPr xmlns="http://schemas.microsoft.com/office/spreadsheetml/2009/9/main" objectType="CheckBox" checked="Checked" fmlaLink="$B$18" lockText="1" noThreeD="1"/>
</file>

<file path=xl/ctrlProps/ctrlProp37.xml><?xml version="1.0" encoding="utf-8"?>
<formControlPr xmlns="http://schemas.microsoft.com/office/spreadsheetml/2009/9/main" objectType="CheckBox" checked="Checked" fmlaLink="$B$19" lockText="1" noThreeD="1"/>
</file>

<file path=xl/ctrlProps/ctrlProp38.xml><?xml version="1.0" encoding="utf-8"?>
<formControlPr xmlns="http://schemas.microsoft.com/office/spreadsheetml/2009/9/main" objectType="CheckBox" checked="Checked" fmlaLink="$B$25" lockText="1" noThreeD="1"/>
</file>

<file path=xl/ctrlProps/ctrlProp39.xml><?xml version="1.0" encoding="utf-8"?>
<formControlPr xmlns="http://schemas.microsoft.com/office/spreadsheetml/2009/9/main" objectType="CheckBox" fmlaLink="$B$26" lockText="1" noThreeD="1"/>
</file>

<file path=xl/ctrlProps/ctrlProp40.xml><?xml version="1.0" encoding="utf-8"?>
<formControlPr xmlns="http://schemas.microsoft.com/office/spreadsheetml/2009/9/main" objectType="CheckBox" fmlaLink="$B$23" lockText="1" noThreeD="1"/>
</file>

<file path=xl/ctrlProps/ctrlProp41.xml><?xml version="1.0" encoding="utf-8"?>
<formControlPr xmlns="http://schemas.microsoft.com/office/spreadsheetml/2009/9/main" objectType="CheckBox" checked="Checked" fmlaLink="$K$33" lockText="1" noThreeD="1"/>
</file>

<file path=xl/ctrlProps/ctrlProp42.xml><?xml version="1.0" encoding="utf-8"?>
<formControlPr xmlns="http://schemas.microsoft.com/office/spreadsheetml/2009/9/main" objectType="CheckBox" fmlaLink="$K$34" lockText="1" noThreeD="1"/>
</file>

<file path=xl/ctrlProps/ctrlProp43.xml><?xml version="1.0" encoding="utf-8"?>
<formControlPr xmlns="http://schemas.microsoft.com/office/spreadsheetml/2009/9/main" objectType="CheckBox" checked="Checked" fmlaLink="$K$35" lockText="1" noThreeD="1"/>
</file>

<file path=xl/ctrlProps/ctrlProp44.xml><?xml version="1.0" encoding="utf-8"?>
<formControlPr xmlns="http://schemas.microsoft.com/office/spreadsheetml/2009/9/main" objectType="CheckBox" checked="Checked" fmlaLink="$C$16" lockText="1" noThreeD="1"/>
</file>

<file path=xl/ctrlProps/ctrlProp45.xml><?xml version="1.0" encoding="utf-8"?>
<formControlPr xmlns="http://schemas.microsoft.com/office/spreadsheetml/2009/9/main" objectType="CheckBox" checked="Checked" fmlaLink="$C$17" lockText="1" noThreeD="1"/>
</file>

<file path=xl/ctrlProps/ctrlProp46.xml><?xml version="1.0" encoding="utf-8"?>
<formControlPr xmlns="http://schemas.microsoft.com/office/spreadsheetml/2009/9/main" objectType="CheckBox" checked="Checked" fmlaLink="$C$18" lockText="1" noThreeD="1"/>
</file>

<file path=xl/ctrlProps/ctrlProp47.xml><?xml version="1.0" encoding="utf-8"?>
<formControlPr xmlns="http://schemas.microsoft.com/office/spreadsheetml/2009/9/main" objectType="CheckBox" checked="Checked" fmlaLink="$C$19" lockText="1" noThreeD="1"/>
</file>

<file path=xl/ctrlProps/ctrlProp48.xml><?xml version="1.0" encoding="utf-8"?>
<formControlPr xmlns="http://schemas.microsoft.com/office/spreadsheetml/2009/9/main" objectType="CheckBox" checked="Checked" fmlaLink="$C$20" lockText="1" noThreeD="1"/>
</file>

<file path=xl/ctrlProps/ctrlProp49.xml><?xml version="1.0" encoding="utf-8"?>
<formControlPr xmlns="http://schemas.microsoft.com/office/spreadsheetml/2009/9/main" objectType="CheckBox" checked="Checked" fmlaLink="$B$23" lockText="1" noThreeD="1"/>
</file>

<file path=xl/ctrlProps/ctrlProp50.xml><?xml version="1.0" encoding="utf-8"?>
<formControlPr xmlns="http://schemas.microsoft.com/office/spreadsheetml/2009/9/main" objectType="CheckBox" fmlaLink="$B$24" lockText="1" noThreeD="1"/>
</file>

<file path=xl/ctrlProps/ctrlProp51.xml><?xml version="1.0" encoding="utf-8"?>
<formControlPr xmlns="http://schemas.microsoft.com/office/spreadsheetml/2009/9/main" objectType="CheckBox" checked="Checked" fmlaLink="$K$33" lockText="1" noThreeD="1"/>
</file>

<file path=xl/ctrlProps/ctrlProp52.xml><?xml version="1.0" encoding="utf-8"?>
<formControlPr xmlns="http://schemas.microsoft.com/office/spreadsheetml/2009/9/main" objectType="CheckBox" checked="Checked" fmlaLink="$K$34" lockText="1" noThreeD="1"/>
</file>

<file path=xl/ctrlProps/ctrlProp53.xml><?xml version="1.0" encoding="utf-8"?>
<formControlPr xmlns="http://schemas.microsoft.com/office/spreadsheetml/2009/9/main" objectType="CheckBox" checked="Checked" fmlaLink="$K$35" lockText="1" noThreeD="1"/>
</file>

<file path=xl/ctrlProps/ctrlProp54.xml><?xml version="1.0" encoding="utf-8"?>
<formControlPr xmlns="http://schemas.microsoft.com/office/spreadsheetml/2009/9/main" objectType="CheckBox" fmlaLink="#REF!" lockText="1" noThreeD="1"/>
</file>

<file path=xl/ctrlProps/ctrlProp55.xml><?xml version="1.0" encoding="utf-8"?>
<formControlPr xmlns="http://schemas.microsoft.com/office/spreadsheetml/2009/9/main" objectType="CheckBox" fmlaLink="$B$23" lockText="1" noThreeD="1"/>
</file>

<file path=xl/ctrlProps/ctrlProp56.xml><?xml version="1.0" encoding="utf-8"?>
<formControlPr xmlns="http://schemas.microsoft.com/office/spreadsheetml/2009/9/main" objectType="CheckBox" checked="Checked" fmlaLink="$I$30" lockText="1" noThreeD="1"/>
</file>

<file path=xl/ctrlProps/ctrlProp57.xml><?xml version="1.0" encoding="utf-8"?>
<formControlPr xmlns="http://schemas.microsoft.com/office/spreadsheetml/2009/9/main" objectType="CheckBox" checked="Checked" fmlaLink="$I$31" lockText="1" noThreeD="1"/>
</file>

<file path=xl/ctrlProps/ctrlProp58.xml><?xml version="1.0" encoding="utf-8"?>
<formControlPr xmlns="http://schemas.microsoft.com/office/spreadsheetml/2009/9/main" objectType="CheckBox" checked="Checked" fmlaLink="$I$32" lockText="1" noThreeD="1"/>
</file>

<file path=xl/ctrlProps/ctrlProp59.xml><?xml version="1.0" encoding="utf-8"?>
<formControlPr xmlns="http://schemas.microsoft.com/office/spreadsheetml/2009/9/main" objectType="CheckBox" checked="Checked" fmlaLink="$B$12" lockText="1" noThreeD="1"/>
</file>

<file path=xl/ctrlProps/ctrlProp60.xml><?xml version="1.0" encoding="utf-8"?>
<formControlPr xmlns="http://schemas.microsoft.com/office/spreadsheetml/2009/9/main" objectType="CheckBox" checked="Checked" fmlaLink="$B$13" lockText="1" noThreeD="1"/>
</file>

<file path=xl/ctrlProps/ctrlProp61.xml><?xml version="1.0" encoding="utf-8"?>
<formControlPr xmlns="http://schemas.microsoft.com/office/spreadsheetml/2009/9/main" objectType="CheckBox" checked="Checked" fmlaLink="$B$14" lockText="1" noThreeD="1"/>
</file>

<file path=xl/ctrlProps/ctrlProp62.xml><?xml version="1.0" encoding="utf-8"?>
<formControlPr xmlns="http://schemas.microsoft.com/office/spreadsheetml/2009/9/main" objectType="CheckBox" checked="Checked" fmlaLink="$I$30" lockText="1" noThreeD="1"/>
</file>

<file path=xl/ctrlProps/ctrlProp63.xml><?xml version="1.0" encoding="utf-8"?>
<formControlPr xmlns="http://schemas.microsoft.com/office/spreadsheetml/2009/9/main" objectType="CheckBox" checked="Checked" fmlaLink="$I$31" lockText="1" noThreeD="1"/>
</file>

<file path=xl/ctrlProps/ctrlProp64.xml><?xml version="1.0" encoding="utf-8"?>
<formControlPr xmlns="http://schemas.microsoft.com/office/spreadsheetml/2009/9/main" objectType="CheckBox" checked="Checked" fmlaLink="$I$32" lockText="1" noThreeD="1"/>
</file>

<file path=xl/ctrlProps/ctrlProp65.xml><?xml version="1.0" encoding="utf-8"?>
<formControlPr xmlns="http://schemas.microsoft.com/office/spreadsheetml/2009/9/main" objectType="CheckBox" checked="Checked" fmlaLink="$B$12" lockText="1" noThreeD="1"/>
</file>

<file path=xl/ctrlProps/ctrlProp66.xml><?xml version="1.0" encoding="utf-8"?>
<formControlPr xmlns="http://schemas.microsoft.com/office/spreadsheetml/2009/9/main" objectType="CheckBox" checked="Checked" fmlaLink="$B$13" lockText="1" noThreeD="1"/>
</file>

<file path=xl/ctrlProps/ctrlProp67.xml><?xml version="1.0" encoding="utf-8"?>
<formControlPr xmlns="http://schemas.microsoft.com/office/spreadsheetml/2009/9/main" objectType="CheckBox" checked="Checked" fmlaLink="$B$14" lockText="1" noThreeD="1"/>
</file>

<file path=xl/ctrlProps/ctrlProp68.xml><?xml version="1.0" encoding="utf-8"?>
<formControlPr xmlns="http://schemas.microsoft.com/office/spreadsheetml/2009/9/main" objectType="CheckBox" fmlaLink="$G$39" lockText="1" noThreeD="1"/>
</file>

<file path=xl/ctrlProps/ctrlProp69.xml><?xml version="1.0" encoding="utf-8"?>
<formControlPr xmlns="http://schemas.microsoft.com/office/spreadsheetml/2009/9/main" objectType="CheckBox" fmlaLink="$G$40" lockText="1" noThreeD="1"/>
</file>

<file path=xl/ctrlProps/ctrlProp70.xml><?xml version="1.0" encoding="utf-8"?>
<formControlPr xmlns="http://schemas.microsoft.com/office/spreadsheetml/2009/9/main" objectType="CheckBox" fmlaLink="$G$41" lockText="1" noThreeD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sv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svg"/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279400</xdr:colOff>
          <xdr:row>43</xdr:row>
          <xdr:rowOff>374650</xdr:rowOff>
        </xdr:from>
        <xdr:to>
          <xdr:col>11</xdr:col>
          <xdr:colOff>514350</xdr:colOff>
          <xdr:row>43</xdr:row>
          <xdr:rowOff>565150</xdr:rowOff>
        </xdr:to>
        <xdr:sp macro="" textlink="">
          <xdr:nvSpPr>
            <xdr:cNvPr id="2079" name="Check Box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285750</xdr:colOff>
          <xdr:row>44</xdr:row>
          <xdr:rowOff>361950</xdr:rowOff>
        </xdr:from>
        <xdr:to>
          <xdr:col>11</xdr:col>
          <xdr:colOff>527050</xdr:colOff>
          <xdr:row>44</xdr:row>
          <xdr:rowOff>552450</xdr:rowOff>
        </xdr:to>
        <xdr:sp macro="" textlink="">
          <xdr:nvSpPr>
            <xdr:cNvPr id="2080" name="Check Box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285750</xdr:colOff>
          <xdr:row>45</xdr:row>
          <xdr:rowOff>361950</xdr:rowOff>
        </xdr:from>
        <xdr:to>
          <xdr:col>11</xdr:col>
          <xdr:colOff>527050</xdr:colOff>
          <xdr:row>45</xdr:row>
          <xdr:rowOff>552450</xdr:rowOff>
        </xdr:to>
        <xdr:sp macro="" textlink="">
          <xdr:nvSpPr>
            <xdr:cNvPr id="2081" name="Check Box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546100</xdr:colOff>
          <xdr:row>10</xdr:row>
          <xdr:rowOff>488950</xdr:rowOff>
        </xdr:from>
        <xdr:to>
          <xdr:col>3</xdr:col>
          <xdr:colOff>266700</xdr:colOff>
          <xdr:row>12</xdr:row>
          <xdr:rowOff>76200</xdr:rowOff>
        </xdr:to>
        <xdr:sp macro="" textlink="">
          <xdr:nvSpPr>
            <xdr:cNvPr id="2088" name="Check Box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546100</xdr:colOff>
          <xdr:row>11</xdr:row>
          <xdr:rowOff>165100</xdr:rowOff>
        </xdr:from>
        <xdr:to>
          <xdr:col>3</xdr:col>
          <xdr:colOff>266700</xdr:colOff>
          <xdr:row>13</xdr:row>
          <xdr:rowOff>50800</xdr:rowOff>
        </xdr:to>
        <xdr:sp macro="" textlink="">
          <xdr:nvSpPr>
            <xdr:cNvPr id="2089" name="Check Box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546100</xdr:colOff>
          <xdr:row>12</xdr:row>
          <xdr:rowOff>165100</xdr:rowOff>
        </xdr:from>
        <xdr:to>
          <xdr:col>3</xdr:col>
          <xdr:colOff>266700</xdr:colOff>
          <xdr:row>14</xdr:row>
          <xdr:rowOff>50800</xdr:rowOff>
        </xdr:to>
        <xdr:sp macro="" textlink="">
          <xdr:nvSpPr>
            <xdr:cNvPr id="2090" name="Check Box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15</xdr:row>
          <xdr:rowOff>184150</xdr:rowOff>
        </xdr:from>
        <xdr:to>
          <xdr:col>3</xdr:col>
          <xdr:colOff>552450</xdr:colOff>
          <xdr:row>17</xdr:row>
          <xdr:rowOff>12700</xdr:rowOff>
        </xdr:to>
        <xdr:sp macro="" textlink="">
          <xdr:nvSpPr>
            <xdr:cNvPr id="2095" name="Check Box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527050</xdr:colOff>
          <xdr:row>16</xdr:row>
          <xdr:rowOff>171450</xdr:rowOff>
        </xdr:from>
        <xdr:to>
          <xdr:col>3</xdr:col>
          <xdr:colOff>546100</xdr:colOff>
          <xdr:row>18</xdr:row>
          <xdr:rowOff>0</xdr:rowOff>
        </xdr:to>
        <xdr:sp macro="" textlink="">
          <xdr:nvSpPr>
            <xdr:cNvPr id="2096" name="Check Box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546100</xdr:colOff>
          <xdr:row>14</xdr:row>
          <xdr:rowOff>12700</xdr:rowOff>
        </xdr:from>
        <xdr:to>
          <xdr:col>3</xdr:col>
          <xdr:colOff>565150</xdr:colOff>
          <xdr:row>15</xdr:row>
          <xdr:rowOff>31750</xdr:rowOff>
        </xdr:to>
        <xdr:sp macro="" textlink="">
          <xdr:nvSpPr>
            <xdr:cNvPr id="2107" name="Check Box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1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70</xdr:row>
          <xdr:rowOff>0</xdr:rowOff>
        </xdr:from>
        <xdr:to>
          <xdr:col>9</xdr:col>
          <xdr:colOff>298450</xdr:colOff>
          <xdr:row>71</xdr:row>
          <xdr:rowOff>0</xdr:rowOff>
        </xdr:to>
        <xdr:sp macro="" textlink="">
          <xdr:nvSpPr>
            <xdr:cNvPr id="18442" name="Check Box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2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69850</xdr:colOff>
          <xdr:row>70</xdr:row>
          <xdr:rowOff>0</xdr:rowOff>
        </xdr:from>
        <xdr:to>
          <xdr:col>9</xdr:col>
          <xdr:colOff>317500</xdr:colOff>
          <xdr:row>71</xdr:row>
          <xdr:rowOff>0</xdr:rowOff>
        </xdr:to>
        <xdr:sp macro="" textlink="">
          <xdr:nvSpPr>
            <xdr:cNvPr id="18443" name="Check Box 11" hidden="1">
              <a:extLst>
                <a:ext uri="{63B3BB69-23CF-44E3-9099-C40C66FF867C}">
                  <a14:compatExt spid="_x0000_s18443"/>
                </a:ext>
                <a:ext uri="{FF2B5EF4-FFF2-40B4-BE49-F238E27FC236}">
                  <a16:creationId xmlns:a16="http://schemas.microsoft.com/office/drawing/2014/main" id="{00000000-0008-0000-0200-00000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69850</xdr:colOff>
          <xdr:row>70</xdr:row>
          <xdr:rowOff>0</xdr:rowOff>
        </xdr:from>
        <xdr:to>
          <xdr:col>9</xdr:col>
          <xdr:colOff>317500</xdr:colOff>
          <xdr:row>71</xdr:row>
          <xdr:rowOff>0</xdr:rowOff>
        </xdr:to>
        <xdr:sp macro="" textlink="">
          <xdr:nvSpPr>
            <xdr:cNvPr id="18444" name="Check Box 12" hidden="1">
              <a:extLst>
                <a:ext uri="{63B3BB69-23CF-44E3-9099-C40C66FF867C}">
                  <a14:compatExt spid="_x0000_s18444"/>
                </a:ext>
                <a:ext uri="{FF2B5EF4-FFF2-40B4-BE49-F238E27FC236}">
                  <a16:creationId xmlns:a16="http://schemas.microsoft.com/office/drawing/2014/main" id="{00000000-0008-0000-0200-00000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222250</xdr:colOff>
          <xdr:row>44</xdr:row>
          <xdr:rowOff>431800</xdr:rowOff>
        </xdr:from>
        <xdr:to>
          <xdr:col>11</xdr:col>
          <xdr:colOff>438150</xdr:colOff>
          <xdr:row>44</xdr:row>
          <xdr:rowOff>565150</xdr:rowOff>
        </xdr:to>
        <xdr:sp macro="" textlink="">
          <xdr:nvSpPr>
            <xdr:cNvPr id="18471" name="Check Box 39" hidden="1">
              <a:extLst>
                <a:ext uri="{63B3BB69-23CF-44E3-9099-C40C66FF867C}">
                  <a14:compatExt spid="_x0000_s18471"/>
                </a:ext>
                <a:ext uri="{FF2B5EF4-FFF2-40B4-BE49-F238E27FC236}">
                  <a16:creationId xmlns:a16="http://schemas.microsoft.com/office/drawing/2014/main" id="{00000000-0008-0000-0200-00002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184150</xdr:colOff>
          <xdr:row>44</xdr:row>
          <xdr:rowOff>889000</xdr:rowOff>
        </xdr:from>
        <xdr:to>
          <xdr:col>11</xdr:col>
          <xdr:colOff>438150</xdr:colOff>
          <xdr:row>46</xdr:row>
          <xdr:rowOff>317500</xdr:rowOff>
        </xdr:to>
        <xdr:sp macro="" textlink="">
          <xdr:nvSpPr>
            <xdr:cNvPr id="18472" name="Check Box 40" hidden="1">
              <a:extLst>
                <a:ext uri="{63B3BB69-23CF-44E3-9099-C40C66FF867C}">
                  <a14:compatExt spid="_x0000_s18472"/>
                </a:ext>
                <a:ext uri="{FF2B5EF4-FFF2-40B4-BE49-F238E27FC236}">
                  <a16:creationId xmlns:a16="http://schemas.microsoft.com/office/drawing/2014/main" id="{00000000-0008-0000-0200-00002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46</xdr:row>
          <xdr:rowOff>190500</xdr:rowOff>
        </xdr:from>
        <xdr:to>
          <xdr:col>11</xdr:col>
          <xdr:colOff>412750</xdr:colOff>
          <xdr:row>46</xdr:row>
          <xdr:rowOff>914400</xdr:rowOff>
        </xdr:to>
        <xdr:sp macro="" textlink="">
          <xdr:nvSpPr>
            <xdr:cNvPr id="18473" name="Check Box 41" hidden="1">
              <a:extLst>
                <a:ext uri="{63B3BB69-23CF-44E3-9099-C40C66FF867C}">
                  <a14:compatExt spid="_x0000_s18473"/>
                </a:ext>
                <a:ext uri="{FF2B5EF4-FFF2-40B4-BE49-F238E27FC236}">
                  <a16:creationId xmlns:a16="http://schemas.microsoft.com/office/drawing/2014/main" id="{00000000-0008-0000-0200-00002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546100</xdr:colOff>
          <xdr:row>10</xdr:row>
          <xdr:rowOff>488950</xdr:rowOff>
        </xdr:from>
        <xdr:to>
          <xdr:col>3</xdr:col>
          <xdr:colOff>266700</xdr:colOff>
          <xdr:row>12</xdr:row>
          <xdr:rowOff>76200</xdr:rowOff>
        </xdr:to>
        <xdr:sp macro="" textlink="">
          <xdr:nvSpPr>
            <xdr:cNvPr id="18474" name="Check Box 42" hidden="1">
              <a:extLst>
                <a:ext uri="{63B3BB69-23CF-44E3-9099-C40C66FF867C}">
                  <a14:compatExt spid="_x0000_s18474"/>
                </a:ext>
                <a:ext uri="{FF2B5EF4-FFF2-40B4-BE49-F238E27FC236}">
                  <a16:creationId xmlns:a16="http://schemas.microsoft.com/office/drawing/2014/main" id="{00000000-0008-0000-0200-00002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546100</xdr:colOff>
          <xdr:row>11</xdr:row>
          <xdr:rowOff>165100</xdr:rowOff>
        </xdr:from>
        <xdr:to>
          <xdr:col>3</xdr:col>
          <xdr:colOff>266700</xdr:colOff>
          <xdr:row>13</xdr:row>
          <xdr:rowOff>50800</xdr:rowOff>
        </xdr:to>
        <xdr:sp macro="" textlink="">
          <xdr:nvSpPr>
            <xdr:cNvPr id="18475" name="Check Box 43" hidden="1">
              <a:extLst>
                <a:ext uri="{63B3BB69-23CF-44E3-9099-C40C66FF867C}">
                  <a14:compatExt spid="_x0000_s18475"/>
                </a:ext>
                <a:ext uri="{FF2B5EF4-FFF2-40B4-BE49-F238E27FC236}">
                  <a16:creationId xmlns:a16="http://schemas.microsoft.com/office/drawing/2014/main" id="{00000000-0008-0000-0200-00002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546100</xdr:colOff>
          <xdr:row>13</xdr:row>
          <xdr:rowOff>146050</xdr:rowOff>
        </xdr:from>
        <xdr:to>
          <xdr:col>3</xdr:col>
          <xdr:colOff>266700</xdr:colOff>
          <xdr:row>15</xdr:row>
          <xdr:rowOff>31750</xdr:rowOff>
        </xdr:to>
        <xdr:sp macro="" textlink="">
          <xdr:nvSpPr>
            <xdr:cNvPr id="18476" name="Check Box 44" hidden="1">
              <a:extLst>
                <a:ext uri="{63B3BB69-23CF-44E3-9099-C40C66FF867C}">
                  <a14:compatExt spid="_x0000_s18476"/>
                </a:ext>
                <a:ext uri="{FF2B5EF4-FFF2-40B4-BE49-F238E27FC236}">
                  <a16:creationId xmlns:a16="http://schemas.microsoft.com/office/drawing/2014/main" id="{00000000-0008-0000-0200-00002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16</xdr:row>
          <xdr:rowOff>184150</xdr:rowOff>
        </xdr:from>
        <xdr:to>
          <xdr:col>3</xdr:col>
          <xdr:colOff>552450</xdr:colOff>
          <xdr:row>18</xdr:row>
          <xdr:rowOff>12700</xdr:rowOff>
        </xdr:to>
        <xdr:sp macro="" textlink="">
          <xdr:nvSpPr>
            <xdr:cNvPr id="18477" name="Check Box 45" hidden="1">
              <a:extLst>
                <a:ext uri="{63B3BB69-23CF-44E3-9099-C40C66FF867C}">
                  <a14:compatExt spid="_x0000_s18477"/>
                </a:ext>
                <a:ext uri="{FF2B5EF4-FFF2-40B4-BE49-F238E27FC236}">
                  <a16:creationId xmlns:a16="http://schemas.microsoft.com/office/drawing/2014/main" id="{00000000-0008-0000-0200-00002D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527050</xdr:colOff>
          <xdr:row>17</xdr:row>
          <xdr:rowOff>171450</xdr:rowOff>
        </xdr:from>
        <xdr:to>
          <xdr:col>3</xdr:col>
          <xdr:colOff>552450</xdr:colOff>
          <xdr:row>19</xdr:row>
          <xdr:rowOff>0</xdr:rowOff>
        </xdr:to>
        <xdr:sp macro="" textlink="">
          <xdr:nvSpPr>
            <xdr:cNvPr id="18478" name="Check Box 46" hidden="1">
              <a:extLst>
                <a:ext uri="{63B3BB69-23CF-44E3-9099-C40C66FF867C}">
                  <a14:compatExt spid="_x0000_s18478"/>
                </a:ext>
                <a:ext uri="{FF2B5EF4-FFF2-40B4-BE49-F238E27FC236}">
                  <a16:creationId xmlns:a16="http://schemas.microsoft.com/office/drawing/2014/main" id="{00000000-0008-0000-0200-00002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546100</xdr:colOff>
          <xdr:row>15</xdr:row>
          <xdr:rowOff>12700</xdr:rowOff>
        </xdr:from>
        <xdr:to>
          <xdr:col>3</xdr:col>
          <xdr:colOff>565150</xdr:colOff>
          <xdr:row>16</xdr:row>
          <xdr:rowOff>31750</xdr:rowOff>
        </xdr:to>
        <xdr:sp macro="" textlink="">
          <xdr:nvSpPr>
            <xdr:cNvPr id="18479" name="Check Box 47" hidden="1">
              <a:extLst>
                <a:ext uri="{63B3BB69-23CF-44E3-9099-C40C66FF867C}">
                  <a14:compatExt spid="_x0000_s18479"/>
                </a:ext>
                <a:ext uri="{FF2B5EF4-FFF2-40B4-BE49-F238E27FC236}">
                  <a16:creationId xmlns:a16="http://schemas.microsoft.com/office/drawing/2014/main" id="{00000000-0008-0000-0200-00002F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546100</xdr:colOff>
          <xdr:row>12</xdr:row>
          <xdr:rowOff>146050</xdr:rowOff>
        </xdr:from>
        <xdr:to>
          <xdr:col>3</xdr:col>
          <xdr:colOff>266700</xdr:colOff>
          <xdr:row>14</xdr:row>
          <xdr:rowOff>31750</xdr:rowOff>
        </xdr:to>
        <xdr:sp macro="" textlink="">
          <xdr:nvSpPr>
            <xdr:cNvPr id="18482" name="Check Box 50" hidden="1">
              <a:extLst>
                <a:ext uri="{63B3BB69-23CF-44E3-9099-C40C66FF867C}">
                  <a14:compatExt spid="_x0000_s18482"/>
                </a:ext>
                <a:ext uri="{FF2B5EF4-FFF2-40B4-BE49-F238E27FC236}">
                  <a16:creationId xmlns:a16="http://schemas.microsoft.com/office/drawing/2014/main" id="{00000000-0008-0000-0200-00003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38</xdr:row>
          <xdr:rowOff>12700</xdr:rowOff>
        </xdr:from>
        <xdr:to>
          <xdr:col>11</xdr:col>
          <xdr:colOff>298450</xdr:colOff>
          <xdr:row>39</xdr:row>
          <xdr:rowOff>12700</xdr:rowOff>
        </xdr:to>
        <xdr:sp macro="" textlink="">
          <xdr:nvSpPr>
            <xdr:cNvPr id="20481" name="Check Box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69850</xdr:colOff>
          <xdr:row>39</xdr:row>
          <xdr:rowOff>0</xdr:rowOff>
        </xdr:from>
        <xdr:to>
          <xdr:col>11</xdr:col>
          <xdr:colOff>304800</xdr:colOff>
          <xdr:row>40</xdr:row>
          <xdr:rowOff>0</xdr:rowOff>
        </xdr:to>
        <xdr:sp macro="" textlink="">
          <xdr:nvSpPr>
            <xdr:cNvPr id="20482" name="Check Box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69850</xdr:colOff>
          <xdr:row>40</xdr:row>
          <xdr:rowOff>0</xdr:rowOff>
        </xdr:from>
        <xdr:to>
          <xdr:col>11</xdr:col>
          <xdr:colOff>304800</xdr:colOff>
          <xdr:row>41</xdr:row>
          <xdr:rowOff>0</xdr:rowOff>
        </xdr:to>
        <xdr:sp macro="" textlink="">
          <xdr:nvSpPr>
            <xdr:cNvPr id="20483" name="Check Box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358587</xdr:colOff>
      <xdr:row>154</xdr:row>
      <xdr:rowOff>268940</xdr:rowOff>
    </xdr:from>
    <xdr:to>
      <xdr:col>13</xdr:col>
      <xdr:colOff>392205</xdr:colOff>
      <xdr:row>159</xdr:row>
      <xdr:rowOff>22409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pSpPr/>
      </xdr:nvGrpSpPr>
      <xdr:grpSpPr>
        <a:xfrm>
          <a:off x="20629198" y="36795551"/>
          <a:ext cx="1861007" cy="1221025"/>
          <a:chOff x="17447558" y="31331646"/>
          <a:chExt cx="1557618" cy="1277469"/>
        </a:xfrm>
      </xdr:grpSpPr>
      <xdr:sp macro="[0]!REGISTRO_ARCHIVO_BAI" textlink="">
        <xdr:nvSpPr>
          <xdr:cNvPr id="7" name="Elipse 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/>
        </xdr:nvSpPr>
        <xdr:spPr>
          <a:xfrm>
            <a:off x="17593234" y="31331646"/>
            <a:ext cx="1266265" cy="1266265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pic macro="[0]!REGISTRO_ARCHIVO_BAI">
        <xdr:nvPicPr>
          <xdr:cNvPr id="4" name="Gráfico 3" descr="Disco con relleno sólido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750118" y="31365266"/>
            <a:ext cx="914400" cy="914400"/>
          </a:xfrm>
          <a:prstGeom prst="rect">
            <a:avLst/>
          </a:prstGeom>
        </xdr:spPr>
      </xdr:pic>
      <xdr:sp macro="[0]!REGISTRO_ARCHIVO_BAI" textlink="">
        <xdr:nvSpPr>
          <xdr:cNvPr id="8" name="CuadroTexto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 txBox="1"/>
        </xdr:nvSpPr>
        <xdr:spPr>
          <a:xfrm>
            <a:off x="17447558" y="32362586"/>
            <a:ext cx="1557618" cy="246529"/>
          </a:xfrm>
          <a:prstGeom prst="rect">
            <a:avLst/>
          </a:prstGeom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/>
          <a:p>
            <a:r>
              <a:rPr lang="es-CO" sz="1100" b="1"/>
              <a:t>Guardar Registro BAIO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15</xdr:row>
          <xdr:rowOff>152400</xdr:rowOff>
        </xdr:from>
        <xdr:to>
          <xdr:col>1</xdr:col>
          <xdr:colOff>1123950</xdr:colOff>
          <xdr:row>17</xdr:row>
          <xdr:rowOff>38100</xdr:rowOff>
        </xdr:to>
        <xdr:sp macro="" textlink="">
          <xdr:nvSpPr>
            <xdr:cNvPr id="20502" name="Check Box 22" hidden="1">
              <a:extLst>
                <a:ext uri="{63B3BB69-23CF-44E3-9099-C40C66FF867C}">
                  <a14:compatExt spid="_x0000_s20502"/>
                </a:ext>
                <a:ext uri="{FF2B5EF4-FFF2-40B4-BE49-F238E27FC236}">
                  <a16:creationId xmlns:a16="http://schemas.microsoft.com/office/drawing/2014/main" id="{00000000-0008-0000-0300-00001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736600</xdr:colOff>
          <xdr:row>16</xdr:row>
          <xdr:rowOff>146050</xdr:rowOff>
        </xdr:from>
        <xdr:to>
          <xdr:col>1</xdr:col>
          <xdr:colOff>1117600</xdr:colOff>
          <xdr:row>18</xdr:row>
          <xdr:rowOff>31750</xdr:rowOff>
        </xdr:to>
        <xdr:sp macro="" textlink="">
          <xdr:nvSpPr>
            <xdr:cNvPr id="20503" name="Check Box 23" hidden="1">
              <a:extLst>
                <a:ext uri="{63B3BB69-23CF-44E3-9099-C40C66FF867C}">
                  <a14:compatExt spid="_x0000_s20503"/>
                </a:ext>
                <a:ext uri="{FF2B5EF4-FFF2-40B4-BE49-F238E27FC236}">
                  <a16:creationId xmlns:a16="http://schemas.microsoft.com/office/drawing/2014/main" id="{00000000-0008-0000-0300-00001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736600</xdr:colOff>
          <xdr:row>17</xdr:row>
          <xdr:rowOff>146050</xdr:rowOff>
        </xdr:from>
        <xdr:to>
          <xdr:col>1</xdr:col>
          <xdr:colOff>1117600</xdr:colOff>
          <xdr:row>19</xdr:row>
          <xdr:rowOff>31750</xdr:rowOff>
        </xdr:to>
        <xdr:sp macro="" textlink="">
          <xdr:nvSpPr>
            <xdr:cNvPr id="20504" name="Check Box 24" hidden="1">
              <a:extLst>
                <a:ext uri="{63B3BB69-23CF-44E3-9099-C40C66FF867C}">
                  <a14:compatExt spid="_x0000_s20504"/>
                </a:ext>
                <a:ext uri="{FF2B5EF4-FFF2-40B4-BE49-F238E27FC236}">
                  <a16:creationId xmlns:a16="http://schemas.microsoft.com/office/drawing/2014/main" id="{00000000-0008-0000-0300-00001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736600</xdr:colOff>
          <xdr:row>18</xdr:row>
          <xdr:rowOff>146050</xdr:rowOff>
        </xdr:from>
        <xdr:to>
          <xdr:col>1</xdr:col>
          <xdr:colOff>1117600</xdr:colOff>
          <xdr:row>20</xdr:row>
          <xdr:rowOff>31750</xdr:rowOff>
        </xdr:to>
        <xdr:sp macro="" textlink="">
          <xdr:nvSpPr>
            <xdr:cNvPr id="20505" name="Check Box 25" hidden="1">
              <a:extLst>
                <a:ext uri="{63B3BB69-23CF-44E3-9099-C40C66FF867C}">
                  <a14:compatExt spid="_x0000_s20505"/>
                </a:ext>
                <a:ext uri="{FF2B5EF4-FFF2-40B4-BE49-F238E27FC236}">
                  <a16:creationId xmlns:a16="http://schemas.microsoft.com/office/drawing/2014/main" id="{00000000-0008-0000-0300-00001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736600</xdr:colOff>
          <xdr:row>19</xdr:row>
          <xdr:rowOff>133350</xdr:rowOff>
        </xdr:from>
        <xdr:to>
          <xdr:col>1</xdr:col>
          <xdr:colOff>1117600</xdr:colOff>
          <xdr:row>21</xdr:row>
          <xdr:rowOff>19050</xdr:rowOff>
        </xdr:to>
        <xdr:sp macro="" textlink="">
          <xdr:nvSpPr>
            <xdr:cNvPr id="20506" name="Check Box 26" hidden="1">
              <a:extLst>
                <a:ext uri="{63B3BB69-23CF-44E3-9099-C40C66FF867C}">
                  <a14:compatExt spid="_x0000_s20506"/>
                </a:ext>
                <a:ext uri="{FF2B5EF4-FFF2-40B4-BE49-F238E27FC236}">
                  <a16:creationId xmlns:a16="http://schemas.microsoft.com/office/drawing/2014/main" id="{00000000-0008-0000-0300-00001A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736600</xdr:colOff>
          <xdr:row>20</xdr:row>
          <xdr:rowOff>133350</xdr:rowOff>
        </xdr:from>
        <xdr:to>
          <xdr:col>1</xdr:col>
          <xdr:colOff>1117600</xdr:colOff>
          <xdr:row>22</xdr:row>
          <xdr:rowOff>19050</xdr:rowOff>
        </xdr:to>
        <xdr:sp macro="" textlink="">
          <xdr:nvSpPr>
            <xdr:cNvPr id="20507" name="Check Box 27" hidden="1">
              <a:extLst>
                <a:ext uri="{63B3BB69-23CF-44E3-9099-C40C66FF867C}">
                  <a14:compatExt spid="_x0000_s20507"/>
                </a:ext>
                <a:ext uri="{FF2B5EF4-FFF2-40B4-BE49-F238E27FC236}">
                  <a16:creationId xmlns:a16="http://schemas.microsoft.com/office/drawing/2014/main" id="{00000000-0008-0000-0300-00001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736600</xdr:colOff>
          <xdr:row>23</xdr:row>
          <xdr:rowOff>184150</xdr:rowOff>
        </xdr:from>
        <xdr:to>
          <xdr:col>1</xdr:col>
          <xdr:colOff>1409700</xdr:colOff>
          <xdr:row>25</xdr:row>
          <xdr:rowOff>12700</xdr:rowOff>
        </xdr:to>
        <xdr:sp macro="" textlink="">
          <xdr:nvSpPr>
            <xdr:cNvPr id="20508" name="Check Box 28" hidden="1">
              <a:extLst>
                <a:ext uri="{63B3BB69-23CF-44E3-9099-C40C66FF867C}">
                  <a14:compatExt spid="_x0000_s20508"/>
                </a:ext>
                <a:ext uri="{FF2B5EF4-FFF2-40B4-BE49-F238E27FC236}">
                  <a16:creationId xmlns:a16="http://schemas.microsoft.com/office/drawing/2014/main" id="{00000000-0008-0000-0300-00001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736600</xdr:colOff>
          <xdr:row>24</xdr:row>
          <xdr:rowOff>184150</xdr:rowOff>
        </xdr:from>
        <xdr:to>
          <xdr:col>1</xdr:col>
          <xdr:colOff>1409700</xdr:colOff>
          <xdr:row>26</xdr:row>
          <xdr:rowOff>12700</xdr:rowOff>
        </xdr:to>
        <xdr:sp macro="" textlink="">
          <xdr:nvSpPr>
            <xdr:cNvPr id="20509" name="Check Box 29" hidden="1">
              <a:extLst>
                <a:ext uri="{63B3BB69-23CF-44E3-9099-C40C66FF867C}">
                  <a14:compatExt spid="_x0000_s20509"/>
                </a:ext>
                <a:ext uri="{FF2B5EF4-FFF2-40B4-BE49-F238E27FC236}">
                  <a16:creationId xmlns:a16="http://schemas.microsoft.com/office/drawing/2014/main" id="{00000000-0008-0000-0300-00001D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736600</xdr:colOff>
          <xdr:row>23</xdr:row>
          <xdr:rowOff>184150</xdr:rowOff>
        </xdr:from>
        <xdr:to>
          <xdr:col>1</xdr:col>
          <xdr:colOff>1409700</xdr:colOff>
          <xdr:row>25</xdr:row>
          <xdr:rowOff>12700</xdr:rowOff>
        </xdr:to>
        <xdr:sp macro="" textlink="">
          <xdr:nvSpPr>
            <xdr:cNvPr id="20517" name="Check Box 37" hidden="1">
              <a:extLst>
                <a:ext uri="{63B3BB69-23CF-44E3-9099-C40C66FF867C}">
                  <a14:compatExt spid="_x0000_s20517"/>
                </a:ext>
                <a:ext uri="{FF2B5EF4-FFF2-40B4-BE49-F238E27FC236}">
                  <a16:creationId xmlns:a16="http://schemas.microsoft.com/office/drawing/2014/main" id="{00000000-0008-0000-0300-00002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736600</xdr:colOff>
          <xdr:row>24</xdr:row>
          <xdr:rowOff>184150</xdr:rowOff>
        </xdr:from>
        <xdr:to>
          <xdr:col>1</xdr:col>
          <xdr:colOff>1409700</xdr:colOff>
          <xdr:row>26</xdr:row>
          <xdr:rowOff>12700</xdr:rowOff>
        </xdr:to>
        <xdr:sp macro="" textlink="">
          <xdr:nvSpPr>
            <xdr:cNvPr id="20518" name="Check Box 38" hidden="1">
              <a:extLst>
                <a:ext uri="{63B3BB69-23CF-44E3-9099-C40C66FF867C}">
                  <a14:compatExt spid="_x0000_s20518"/>
                </a:ext>
                <a:ext uri="{FF2B5EF4-FFF2-40B4-BE49-F238E27FC236}">
                  <a16:creationId xmlns:a16="http://schemas.microsoft.com/office/drawing/2014/main" id="{00000000-0008-0000-0300-00002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736600</xdr:colOff>
          <xdr:row>23</xdr:row>
          <xdr:rowOff>184150</xdr:rowOff>
        </xdr:from>
        <xdr:to>
          <xdr:col>1</xdr:col>
          <xdr:colOff>1409700</xdr:colOff>
          <xdr:row>25</xdr:row>
          <xdr:rowOff>12700</xdr:rowOff>
        </xdr:to>
        <xdr:sp macro="" textlink="">
          <xdr:nvSpPr>
            <xdr:cNvPr id="20519" name="Check Box 39" hidden="1">
              <a:extLst>
                <a:ext uri="{63B3BB69-23CF-44E3-9099-C40C66FF867C}">
                  <a14:compatExt spid="_x0000_s20519"/>
                </a:ext>
                <a:ext uri="{FF2B5EF4-FFF2-40B4-BE49-F238E27FC236}">
                  <a16:creationId xmlns:a16="http://schemas.microsoft.com/office/drawing/2014/main" id="{00000000-0008-0000-0300-00002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736600</xdr:colOff>
          <xdr:row>24</xdr:row>
          <xdr:rowOff>184150</xdr:rowOff>
        </xdr:from>
        <xdr:to>
          <xdr:col>1</xdr:col>
          <xdr:colOff>1409700</xdr:colOff>
          <xdr:row>26</xdr:row>
          <xdr:rowOff>12700</xdr:rowOff>
        </xdr:to>
        <xdr:sp macro="" textlink="">
          <xdr:nvSpPr>
            <xdr:cNvPr id="20520" name="Check Box 40" hidden="1">
              <a:extLst>
                <a:ext uri="{63B3BB69-23CF-44E3-9099-C40C66FF867C}">
                  <a14:compatExt spid="_x0000_s20520"/>
                </a:ext>
                <a:ext uri="{FF2B5EF4-FFF2-40B4-BE49-F238E27FC236}">
                  <a16:creationId xmlns:a16="http://schemas.microsoft.com/office/drawing/2014/main" id="{00000000-0008-0000-0300-00002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736600</xdr:colOff>
          <xdr:row>23</xdr:row>
          <xdr:rowOff>184150</xdr:rowOff>
        </xdr:from>
        <xdr:to>
          <xdr:col>1</xdr:col>
          <xdr:colOff>1409700</xdr:colOff>
          <xdr:row>25</xdr:row>
          <xdr:rowOff>12700</xdr:rowOff>
        </xdr:to>
        <xdr:sp macro="" textlink="">
          <xdr:nvSpPr>
            <xdr:cNvPr id="20521" name="Check Box 41" hidden="1">
              <a:extLst>
                <a:ext uri="{63B3BB69-23CF-44E3-9099-C40C66FF867C}">
                  <a14:compatExt spid="_x0000_s20521"/>
                </a:ext>
                <a:ext uri="{FF2B5EF4-FFF2-40B4-BE49-F238E27FC236}">
                  <a16:creationId xmlns:a16="http://schemas.microsoft.com/office/drawing/2014/main" id="{00000000-0008-0000-0300-00002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736600</xdr:colOff>
          <xdr:row>24</xdr:row>
          <xdr:rowOff>184150</xdr:rowOff>
        </xdr:from>
        <xdr:to>
          <xdr:col>1</xdr:col>
          <xdr:colOff>1409700</xdr:colOff>
          <xdr:row>26</xdr:row>
          <xdr:rowOff>12700</xdr:rowOff>
        </xdr:to>
        <xdr:sp macro="" textlink="">
          <xdr:nvSpPr>
            <xdr:cNvPr id="20522" name="Check Box 42" hidden="1">
              <a:extLst>
                <a:ext uri="{63B3BB69-23CF-44E3-9099-C40C66FF867C}">
                  <a14:compatExt spid="_x0000_s20522"/>
                </a:ext>
                <a:ext uri="{FF2B5EF4-FFF2-40B4-BE49-F238E27FC236}">
                  <a16:creationId xmlns:a16="http://schemas.microsoft.com/office/drawing/2014/main" id="{00000000-0008-0000-0300-00002A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717550</xdr:colOff>
          <xdr:row>21</xdr:row>
          <xdr:rowOff>165100</xdr:rowOff>
        </xdr:from>
        <xdr:to>
          <xdr:col>1</xdr:col>
          <xdr:colOff>1098550</xdr:colOff>
          <xdr:row>23</xdr:row>
          <xdr:rowOff>50800</xdr:rowOff>
        </xdr:to>
        <xdr:sp macro="" textlink="">
          <xdr:nvSpPr>
            <xdr:cNvPr id="20534" name="Check Box 54" hidden="1">
              <a:extLst>
                <a:ext uri="{63B3BB69-23CF-44E3-9099-C40C66FF867C}">
                  <a14:compatExt spid="_x0000_s20534"/>
                </a:ext>
                <a:ext uri="{FF2B5EF4-FFF2-40B4-BE49-F238E27FC236}">
                  <a16:creationId xmlns:a16="http://schemas.microsoft.com/office/drawing/2014/main" id="{00000000-0008-0000-0300-00003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533400</xdr:colOff>
      <xdr:row>101</xdr:row>
      <xdr:rowOff>185738</xdr:rowOff>
    </xdr:from>
    <xdr:to>
      <xdr:col>21</xdr:col>
      <xdr:colOff>337264</xdr:colOff>
      <xdr:row>116</xdr:row>
      <xdr:rowOff>81426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975556" y="9139238"/>
          <a:ext cx="8797565" cy="33246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32</xdr:row>
          <xdr:rowOff>12700</xdr:rowOff>
        </xdr:from>
        <xdr:to>
          <xdr:col>10</xdr:col>
          <xdr:colOff>298450</xdr:colOff>
          <xdr:row>33</xdr:row>
          <xdr:rowOff>19050</xdr:rowOff>
        </xdr:to>
        <xdr:sp macro="" textlink="">
          <xdr:nvSpPr>
            <xdr:cNvPr id="14345" name="Check Box 9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5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597745</xdr:colOff>
      <xdr:row>95</xdr:row>
      <xdr:rowOff>143821</xdr:rowOff>
    </xdr:from>
    <xdr:to>
      <xdr:col>7</xdr:col>
      <xdr:colOff>1121620</xdr:colOff>
      <xdr:row>98</xdr:row>
      <xdr:rowOff>96198</xdr:rowOff>
    </xdr:to>
    <xdr:pic>
      <xdr:nvPicPr>
        <xdr:cNvPr id="6" name="Gráfico 5" descr="Peligro con relleno sólido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5448551" y="24140676"/>
          <a:ext cx="523875" cy="5361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69850</xdr:colOff>
          <xdr:row>33</xdr:row>
          <xdr:rowOff>0</xdr:rowOff>
        </xdr:from>
        <xdr:to>
          <xdr:col>10</xdr:col>
          <xdr:colOff>304800</xdr:colOff>
          <xdr:row>34</xdr:row>
          <xdr:rowOff>19050</xdr:rowOff>
        </xdr:to>
        <xdr:sp macro="" textlink="">
          <xdr:nvSpPr>
            <xdr:cNvPr id="14346" name="Check Box 10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5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597029</xdr:colOff>
      <xdr:row>83</xdr:row>
      <xdr:rowOff>173830</xdr:rowOff>
    </xdr:from>
    <xdr:to>
      <xdr:col>7</xdr:col>
      <xdr:colOff>1120904</xdr:colOff>
      <xdr:row>86</xdr:row>
      <xdr:rowOff>126204</xdr:rowOff>
    </xdr:to>
    <xdr:pic>
      <xdr:nvPicPr>
        <xdr:cNvPr id="10" name="Gráfico 9" descr="Peligro con relleno sólido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5447835" y="21835524"/>
          <a:ext cx="523875" cy="53616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69850</xdr:colOff>
          <xdr:row>34</xdr:row>
          <xdr:rowOff>0</xdr:rowOff>
        </xdr:from>
        <xdr:to>
          <xdr:col>10</xdr:col>
          <xdr:colOff>304800</xdr:colOff>
          <xdr:row>35</xdr:row>
          <xdr:rowOff>57150</xdr:rowOff>
        </xdr:to>
        <xdr:sp macro="" textlink="">
          <xdr:nvSpPr>
            <xdr:cNvPr id="14347" name="Check Box 11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5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298450</xdr:colOff>
          <xdr:row>14</xdr:row>
          <xdr:rowOff>165100</xdr:rowOff>
        </xdr:from>
        <xdr:to>
          <xdr:col>2</xdr:col>
          <xdr:colOff>685800</xdr:colOff>
          <xdr:row>16</xdr:row>
          <xdr:rowOff>50800</xdr:rowOff>
        </xdr:to>
        <xdr:sp macro="" textlink="">
          <xdr:nvSpPr>
            <xdr:cNvPr id="14348" name="Check Box 12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5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285750</xdr:colOff>
          <xdr:row>15</xdr:row>
          <xdr:rowOff>152400</xdr:rowOff>
        </xdr:from>
        <xdr:to>
          <xdr:col>2</xdr:col>
          <xdr:colOff>679450</xdr:colOff>
          <xdr:row>17</xdr:row>
          <xdr:rowOff>38100</xdr:rowOff>
        </xdr:to>
        <xdr:sp macro="" textlink="">
          <xdr:nvSpPr>
            <xdr:cNvPr id="14349" name="Check Box 13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5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285750</xdr:colOff>
          <xdr:row>17</xdr:row>
          <xdr:rowOff>0</xdr:rowOff>
        </xdr:from>
        <xdr:to>
          <xdr:col>2</xdr:col>
          <xdr:colOff>679450</xdr:colOff>
          <xdr:row>18</xdr:row>
          <xdr:rowOff>69850</xdr:rowOff>
        </xdr:to>
        <xdr:sp macro="" textlink="">
          <xdr:nvSpPr>
            <xdr:cNvPr id="14350" name="Check Box 14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5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285750</xdr:colOff>
          <xdr:row>17</xdr:row>
          <xdr:rowOff>152400</xdr:rowOff>
        </xdr:from>
        <xdr:to>
          <xdr:col>2</xdr:col>
          <xdr:colOff>679450</xdr:colOff>
          <xdr:row>19</xdr:row>
          <xdr:rowOff>19050</xdr:rowOff>
        </xdr:to>
        <xdr:sp macro="" textlink="">
          <xdr:nvSpPr>
            <xdr:cNvPr id="14351" name="Check Box 15" hidden="1">
              <a:extLst>
                <a:ext uri="{63B3BB69-23CF-44E3-9099-C40C66FF867C}">
                  <a14:compatExt spid="_x0000_s14351"/>
                </a:ext>
                <a:ext uri="{FF2B5EF4-FFF2-40B4-BE49-F238E27FC236}">
                  <a16:creationId xmlns:a16="http://schemas.microsoft.com/office/drawing/2014/main" id="{00000000-0008-0000-0500-00000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285750</xdr:colOff>
          <xdr:row>19</xdr:row>
          <xdr:rowOff>0</xdr:rowOff>
        </xdr:from>
        <xdr:to>
          <xdr:col>2</xdr:col>
          <xdr:colOff>679450</xdr:colOff>
          <xdr:row>20</xdr:row>
          <xdr:rowOff>57150</xdr:rowOff>
        </xdr:to>
        <xdr:sp macro="" textlink="">
          <xdr:nvSpPr>
            <xdr:cNvPr id="14353" name="Check Box 17" hidden="1">
              <a:extLst>
                <a:ext uri="{63B3BB69-23CF-44E3-9099-C40C66FF867C}">
                  <a14:compatExt spid="_x0000_s14353"/>
                </a:ext>
                <a:ext uri="{FF2B5EF4-FFF2-40B4-BE49-F238E27FC236}">
                  <a16:creationId xmlns:a16="http://schemas.microsoft.com/office/drawing/2014/main" id="{00000000-0008-0000-0500-00001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717550</xdr:colOff>
          <xdr:row>21</xdr:row>
          <xdr:rowOff>184150</xdr:rowOff>
        </xdr:from>
        <xdr:to>
          <xdr:col>1</xdr:col>
          <xdr:colOff>1390650</xdr:colOff>
          <xdr:row>23</xdr:row>
          <xdr:rowOff>12700</xdr:rowOff>
        </xdr:to>
        <xdr:sp macro="" textlink="">
          <xdr:nvSpPr>
            <xdr:cNvPr id="14354" name="Check Box 18" hidden="1">
              <a:extLst>
                <a:ext uri="{63B3BB69-23CF-44E3-9099-C40C66FF867C}">
                  <a14:compatExt spid="_x0000_s14354"/>
                </a:ext>
                <a:ext uri="{FF2B5EF4-FFF2-40B4-BE49-F238E27FC236}">
                  <a16:creationId xmlns:a16="http://schemas.microsoft.com/office/drawing/2014/main" id="{00000000-0008-0000-0500-00001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717550</xdr:colOff>
          <xdr:row>22</xdr:row>
          <xdr:rowOff>190500</xdr:rowOff>
        </xdr:from>
        <xdr:to>
          <xdr:col>1</xdr:col>
          <xdr:colOff>1390650</xdr:colOff>
          <xdr:row>24</xdr:row>
          <xdr:rowOff>19050</xdr:rowOff>
        </xdr:to>
        <xdr:sp macro="" textlink="">
          <xdr:nvSpPr>
            <xdr:cNvPr id="14355" name="Check Box 19" hidden="1">
              <a:extLst>
                <a:ext uri="{63B3BB69-23CF-44E3-9099-C40C66FF867C}">
                  <a14:compatExt spid="_x0000_s14355"/>
                </a:ext>
                <a:ext uri="{FF2B5EF4-FFF2-40B4-BE49-F238E27FC236}">
                  <a16:creationId xmlns:a16="http://schemas.microsoft.com/office/drawing/2014/main" id="{00000000-0008-0000-0500-00001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32</xdr:row>
          <xdr:rowOff>12700</xdr:rowOff>
        </xdr:from>
        <xdr:to>
          <xdr:col>10</xdr:col>
          <xdr:colOff>298450</xdr:colOff>
          <xdr:row>33</xdr:row>
          <xdr:rowOff>12700</xdr:rowOff>
        </xdr:to>
        <xdr:sp macro="" textlink="">
          <xdr:nvSpPr>
            <xdr:cNvPr id="19457" name="Check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6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69850</xdr:colOff>
          <xdr:row>33</xdr:row>
          <xdr:rowOff>0</xdr:rowOff>
        </xdr:from>
        <xdr:to>
          <xdr:col>10</xdr:col>
          <xdr:colOff>304800</xdr:colOff>
          <xdr:row>34</xdr:row>
          <xdr:rowOff>0</xdr:rowOff>
        </xdr:to>
        <xdr:sp macro="" textlink="">
          <xdr:nvSpPr>
            <xdr:cNvPr id="19458" name="Check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6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69850</xdr:colOff>
          <xdr:row>34</xdr:row>
          <xdr:rowOff>0</xdr:rowOff>
        </xdr:from>
        <xdr:to>
          <xdr:col>10</xdr:col>
          <xdr:colOff>304800</xdr:colOff>
          <xdr:row>34</xdr:row>
          <xdr:rowOff>190500</xdr:rowOff>
        </xdr:to>
        <xdr:sp macro="" textlink="">
          <xdr:nvSpPr>
            <xdr:cNvPr id="19459" name="Check Box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6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355600</xdr:colOff>
          <xdr:row>15</xdr:row>
          <xdr:rowOff>184150</xdr:rowOff>
        </xdr:from>
        <xdr:to>
          <xdr:col>2</xdr:col>
          <xdr:colOff>76200</xdr:colOff>
          <xdr:row>17</xdr:row>
          <xdr:rowOff>12700</xdr:rowOff>
        </xdr:to>
        <xdr:sp macro="" textlink="">
          <xdr:nvSpPr>
            <xdr:cNvPr id="19461" name="Check Box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6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355600</xdr:colOff>
          <xdr:row>16</xdr:row>
          <xdr:rowOff>190500</xdr:rowOff>
        </xdr:from>
        <xdr:to>
          <xdr:col>2</xdr:col>
          <xdr:colOff>76200</xdr:colOff>
          <xdr:row>18</xdr:row>
          <xdr:rowOff>19050</xdr:rowOff>
        </xdr:to>
        <xdr:sp macro="" textlink="">
          <xdr:nvSpPr>
            <xdr:cNvPr id="19462" name="Check Box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6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667048</xdr:colOff>
      <xdr:row>75</xdr:row>
      <xdr:rowOff>132897</xdr:rowOff>
    </xdr:from>
    <xdr:to>
      <xdr:col>7</xdr:col>
      <xdr:colOff>1190923</xdr:colOff>
      <xdr:row>78</xdr:row>
      <xdr:rowOff>85274</xdr:rowOff>
    </xdr:to>
    <xdr:pic>
      <xdr:nvPicPr>
        <xdr:cNvPr id="5" name="Gráfico 4" descr="Peligro con relleno sólido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420215" y="15954980"/>
          <a:ext cx="523875" cy="523877"/>
        </a:xfrm>
        <a:prstGeom prst="rect">
          <a:avLst/>
        </a:prstGeom>
      </xdr:spPr>
    </xdr:pic>
    <xdr:clientData/>
  </xdr:twoCellAnchor>
  <xdr:twoCellAnchor editAs="oneCell">
    <xdr:from>
      <xdr:col>7</xdr:col>
      <xdr:colOff>677257</xdr:colOff>
      <xdr:row>64</xdr:row>
      <xdr:rowOff>57413</xdr:rowOff>
    </xdr:from>
    <xdr:to>
      <xdr:col>7</xdr:col>
      <xdr:colOff>1201132</xdr:colOff>
      <xdr:row>67</xdr:row>
      <xdr:rowOff>9787</xdr:rowOff>
    </xdr:to>
    <xdr:pic>
      <xdr:nvPicPr>
        <xdr:cNvPr id="6" name="Gráfico 5" descr="Peligro con relleno sólido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430424" y="13783996"/>
          <a:ext cx="523875" cy="52387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29</xdr:row>
          <xdr:rowOff>12700</xdr:rowOff>
        </xdr:from>
        <xdr:to>
          <xdr:col>8</xdr:col>
          <xdr:colOff>298450</xdr:colOff>
          <xdr:row>30</xdr:row>
          <xdr:rowOff>12700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7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69850</xdr:colOff>
          <xdr:row>30</xdr:row>
          <xdr:rowOff>0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7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69850</xdr:colOff>
          <xdr:row>31</xdr:row>
          <xdr:rowOff>0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7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10</xdr:row>
          <xdr:rowOff>152400</xdr:rowOff>
        </xdr:from>
        <xdr:to>
          <xdr:col>1</xdr:col>
          <xdr:colOff>1123950</xdr:colOff>
          <xdr:row>12</xdr:row>
          <xdr:rowOff>38100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7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736600</xdr:colOff>
          <xdr:row>11</xdr:row>
          <xdr:rowOff>146050</xdr:rowOff>
        </xdr:from>
        <xdr:to>
          <xdr:col>1</xdr:col>
          <xdr:colOff>1117600</xdr:colOff>
          <xdr:row>13</xdr:row>
          <xdr:rowOff>31750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7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736600</xdr:colOff>
          <xdr:row>12</xdr:row>
          <xdr:rowOff>146050</xdr:rowOff>
        </xdr:from>
        <xdr:to>
          <xdr:col>1</xdr:col>
          <xdr:colOff>1117600</xdr:colOff>
          <xdr:row>14</xdr:row>
          <xdr:rowOff>31750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7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29</xdr:row>
          <xdr:rowOff>12700</xdr:rowOff>
        </xdr:from>
        <xdr:to>
          <xdr:col>8</xdr:col>
          <xdr:colOff>298450</xdr:colOff>
          <xdr:row>30</xdr:row>
          <xdr:rowOff>12700</xdr:rowOff>
        </xdr:to>
        <xdr:sp macro="" textlink="">
          <xdr:nvSpPr>
            <xdr:cNvPr id="34826" name="Check Box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7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69850</xdr:colOff>
          <xdr:row>30</xdr:row>
          <xdr:rowOff>0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34827" name="Check Box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7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69850</xdr:colOff>
          <xdr:row>31</xdr:row>
          <xdr:rowOff>0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34828" name="Check Box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7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10</xdr:row>
          <xdr:rowOff>152400</xdr:rowOff>
        </xdr:from>
        <xdr:to>
          <xdr:col>1</xdr:col>
          <xdr:colOff>1123950</xdr:colOff>
          <xdr:row>12</xdr:row>
          <xdr:rowOff>38100</xdr:rowOff>
        </xdr:to>
        <xdr:sp macro="" textlink="">
          <xdr:nvSpPr>
            <xdr:cNvPr id="34829" name="Check Box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7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736600</xdr:colOff>
          <xdr:row>11</xdr:row>
          <xdr:rowOff>146050</xdr:rowOff>
        </xdr:from>
        <xdr:to>
          <xdr:col>1</xdr:col>
          <xdr:colOff>1117600</xdr:colOff>
          <xdr:row>13</xdr:row>
          <xdr:rowOff>31750</xdr:rowOff>
        </xdr:to>
        <xdr:sp macro="" textlink="">
          <xdr:nvSpPr>
            <xdr:cNvPr id="34830" name="Check Box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7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736600</xdr:colOff>
          <xdr:row>12</xdr:row>
          <xdr:rowOff>146050</xdr:rowOff>
        </xdr:from>
        <xdr:to>
          <xdr:col>1</xdr:col>
          <xdr:colOff>1117600</xdr:colOff>
          <xdr:row>14</xdr:row>
          <xdr:rowOff>31750</xdr:rowOff>
        </xdr:to>
        <xdr:sp macro="" textlink="">
          <xdr:nvSpPr>
            <xdr:cNvPr id="34831" name="Check Box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7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5</xdr:row>
          <xdr:rowOff>12700</xdr:rowOff>
        </xdr:from>
        <xdr:to>
          <xdr:col>9</xdr:col>
          <xdr:colOff>298450</xdr:colOff>
          <xdr:row>6</xdr:row>
          <xdr:rowOff>12700</xdr:rowOff>
        </xdr:to>
        <xdr:sp macro="" textlink="">
          <xdr:nvSpPr>
            <xdr:cNvPr id="48138" name="Check Box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0A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69850</xdr:colOff>
          <xdr:row>6</xdr:row>
          <xdr:rowOff>0</xdr:rowOff>
        </xdr:from>
        <xdr:to>
          <xdr:col>9</xdr:col>
          <xdr:colOff>304800</xdr:colOff>
          <xdr:row>7</xdr:row>
          <xdr:rowOff>0</xdr:rowOff>
        </xdr:to>
        <xdr:sp macro="" textlink="">
          <xdr:nvSpPr>
            <xdr:cNvPr id="48139" name="Check Box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0A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69850</xdr:colOff>
          <xdr:row>7</xdr:row>
          <xdr:rowOff>0</xdr:rowOff>
        </xdr:from>
        <xdr:to>
          <xdr:col>9</xdr:col>
          <xdr:colOff>304800</xdr:colOff>
          <xdr:row>8</xdr:row>
          <xdr:rowOff>0</xdr:rowOff>
        </xdr:to>
        <xdr:sp macro="" textlink="">
          <xdr:nvSpPr>
            <xdr:cNvPr id="48140" name="Check Box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0A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2</xdr:row>
      <xdr:rowOff>0</xdr:rowOff>
    </xdr:from>
    <xdr:to>
      <xdr:col>17</xdr:col>
      <xdr:colOff>153910</xdr:colOff>
      <xdr:row>25</xdr:row>
      <xdr:rowOff>96008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58425" y="571500"/>
          <a:ext cx="10821910" cy="543000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37</xdr:row>
      <xdr:rowOff>19050</xdr:rowOff>
    </xdr:from>
    <xdr:to>
      <xdr:col>9</xdr:col>
      <xdr:colOff>271012</xdr:colOff>
      <xdr:row>53</xdr:row>
      <xdr:rowOff>11188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63125" y="10668000"/>
          <a:ext cx="5081137" cy="28877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13" Type="http://schemas.openxmlformats.org/officeDocument/2006/relationships/ctrlProp" Target="../ctrlProps/ctrlProp1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5" Type="http://schemas.openxmlformats.org/officeDocument/2006/relationships/ctrlProp" Target="../ctrlProps/ctrlProp2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Relationship Id="rId14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13" Type="http://schemas.openxmlformats.org/officeDocument/2006/relationships/ctrlProp" Target="../ctrlProps/ctrlProp32.xml"/><Relationship Id="rId18" Type="http://schemas.openxmlformats.org/officeDocument/2006/relationships/ctrlProp" Target="../ctrlProps/ctrlProp37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40.xml"/><Relationship Id="rId7" Type="http://schemas.openxmlformats.org/officeDocument/2006/relationships/ctrlProp" Target="../ctrlProps/ctrlProp26.xml"/><Relationship Id="rId12" Type="http://schemas.openxmlformats.org/officeDocument/2006/relationships/ctrlProp" Target="../ctrlProps/ctrlProp31.xml"/><Relationship Id="rId17" Type="http://schemas.openxmlformats.org/officeDocument/2006/relationships/ctrlProp" Target="../ctrlProps/ctrlProp3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35.xml"/><Relationship Id="rId20" Type="http://schemas.openxmlformats.org/officeDocument/2006/relationships/ctrlProp" Target="../ctrlProps/ctrlProp39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5" Type="http://schemas.openxmlformats.org/officeDocument/2006/relationships/ctrlProp" Target="../ctrlProps/ctrlProp24.xml"/><Relationship Id="rId15" Type="http://schemas.openxmlformats.org/officeDocument/2006/relationships/ctrlProp" Target="../ctrlProps/ctrlProp34.xml"/><Relationship Id="rId10" Type="http://schemas.openxmlformats.org/officeDocument/2006/relationships/ctrlProp" Target="../ctrlProps/ctrlProp29.xml"/><Relationship Id="rId19" Type="http://schemas.openxmlformats.org/officeDocument/2006/relationships/ctrlProp" Target="../ctrlProps/ctrlProp38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Relationship Id="rId14" Type="http://schemas.openxmlformats.org/officeDocument/2006/relationships/ctrlProp" Target="../ctrlProps/ctrlProp3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13" Type="http://schemas.openxmlformats.org/officeDocument/2006/relationships/ctrlProp" Target="../ctrlProps/ctrlProp5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4.xml"/><Relationship Id="rId12" Type="http://schemas.openxmlformats.org/officeDocument/2006/relationships/ctrlProp" Target="../ctrlProps/ctrlProp4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3.xml"/><Relationship Id="rId11" Type="http://schemas.openxmlformats.org/officeDocument/2006/relationships/ctrlProp" Target="../ctrlProps/ctrlProp48.xml"/><Relationship Id="rId5" Type="http://schemas.openxmlformats.org/officeDocument/2006/relationships/ctrlProp" Target="../ctrlProps/ctrlProp42.xml"/><Relationship Id="rId10" Type="http://schemas.openxmlformats.org/officeDocument/2006/relationships/ctrlProp" Target="../ctrlProps/ctrlProp47.xml"/><Relationship Id="rId4" Type="http://schemas.openxmlformats.org/officeDocument/2006/relationships/ctrlProp" Target="../ctrlProps/ctrlProp41.xml"/><Relationship Id="rId9" Type="http://schemas.openxmlformats.org/officeDocument/2006/relationships/ctrlProp" Target="../ctrlProps/ctrlProp4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5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3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0.xml"/><Relationship Id="rId13" Type="http://schemas.openxmlformats.org/officeDocument/2006/relationships/ctrlProp" Target="../ctrlProps/ctrlProp6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59.xml"/><Relationship Id="rId12" Type="http://schemas.openxmlformats.org/officeDocument/2006/relationships/ctrlProp" Target="../ctrlProps/ctrlProp6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8.xml"/><Relationship Id="rId11" Type="http://schemas.openxmlformats.org/officeDocument/2006/relationships/ctrlProp" Target="../ctrlProps/ctrlProp63.xml"/><Relationship Id="rId5" Type="http://schemas.openxmlformats.org/officeDocument/2006/relationships/ctrlProp" Target="../ctrlProps/ctrlProp57.xml"/><Relationship Id="rId15" Type="http://schemas.openxmlformats.org/officeDocument/2006/relationships/ctrlProp" Target="../ctrlProps/ctrlProp67.xml"/><Relationship Id="rId10" Type="http://schemas.openxmlformats.org/officeDocument/2006/relationships/ctrlProp" Target="../ctrlProps/ctrlProp62.xml"/><Relationship Id="rId4" Type="http://schemas.openxmlformats.org/officeDocument/2006/relationships/ctrlProp" Target="../ctrlProps/ctrlProp56.xml"/><Relationship Id="rId9" Type="http://schemas.openxmlformats.org/officeDocument/2006/relationships/ctrlProp" Target="../ctrlProps/ctrlProp61.xml"/><Relationship Id="rId14" Type="http://schemas.openxmlformats.org/officeDocument/2006/relationships/ctrlProp" Target="../ctrlProps/ctrlProp6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70.xml"/><Relationship Id="rId5" Type="http://schemas.openxmlformats.org/officeDocument/2006/relationships/ctrlProp" Target="../ctrlProps/ctrlProp69.xml"/><Relationship Id="rId4" Type="http://schemas.openxmlformats.org/officeDocument/2006/relationships/ctrlProp" Target="../ctrlProps/ctrlProp6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D5CD3-A6F3-4355-8998-57173F05C615}">
  <sheetPr codeName="Hoja1" filterMode="1"/>
  <dimension ref="A1:U77"/>
  <sheetViews>
    <sheetView workbookViewId="0">
      <selection activeCell="T1" sqref="T1:U1048576"/>
    </sheetView>
  </sheetViews>
  <sheetFormatPr baseColWidth="10" defaultRowHeight="14.5"/>
  <cols>
    <col min="1" max="1" width="11.26953125" bestFit="1" customWidth="1"/>
    <col min="2" max="2" width="14.54296875" bestFit="1" customWidth="1"/>
    <col min="3" max="3" width="7" style="1" bestFit="1" customWidth="1"/>
    <col min="7" max="7" width="17.1796875" customWidth="1"/>
    <col min="9" max="9" width="14.453125" bestFit="1" customWidth="1"/>
    <col min="10" max="10" width="12" bestFit="1" customWidth="1"/>
    <col min="11" max="11" width="11.81640625" bestFit="1" customWidth="1"/>
    <col min="12" max="12" width="12" bestFit="1" customWidth="1"/>
    <col min="15" max="15" width="18" bestFit="1" customWidth="1"/>
    <col min="20" max="20" width="8.81640625" bestFit="1" customWidth="1"/>
    <col min="21" max="21" width="19.54296875" bestFit="1" customWidth="1"/>
  </cols>
  <sheetData>
    <row r="1" spans="1:21" ht="43.5">
      <c r="A1" s="149" t="s">
        <v>106</v>
      </c>
      <c r="B1" s="149" t="s">
        <v>107</v>
      </c>
      <c r="C1" s="150" t="s">
        <v>105</v>
      </c>
      <c r="E1" s="150" t="s">
        <v>378</v>
      </c>
      <c r="F1" s="24"/>
      <c r="G1" s="150" t="s">
        <v>406</v>
      </c>
      <c r="H1" s="24"/>
      <c r="I1" s="150" t="s">
        <v>412</v>
      </c>
      <c r="J1" s="24"/>
      <c r="K1" s="150" t="s">
        <v>508</v>
      </c>
      <c r="L1" s="24"/>
      <c r="M1" s="150" t="s">
        <v>456</v>
      </c>
      <c r="O1" s="150" t="s">
        <v>595</v>
      </c>
      <c r="Q1" t="s">
        <v>653</v>
      </c>
      <c r="R1" t="s">
        <v>654</v>
      </c>
      <c r="T1" s="150" t="s">
        <v>796</v>
      </c>
      <c r="U1" s="150" t="s">
        <v>797</v>
      </c>
    </row>
    <row r="2" spans="1:21" hidden="1">
      <c r="A2" s="147" t="s">
        <v>37</v>
      </c>
      <c r="B2" s="147" t="s">
        <v>38</v>
      </c>
      <c r="C2" s="148">
        <v>43</v>
      </c>
      <c r="E2" s="34" t="s">
        <v>379</v>
      </c>
      <c r="F2" s="24"/>
      <c r="G2" s="34" t="s">
        <v>407</v>
      </c>
      <c r="H2" s="24"/>
      <c r="I2" s="34" t="s">
        <v>413</v>
      </c>
      <c r="J2" s="24"/>
      <c r="K2" s="34" t="s">
        <v>147</v>
      </c>
      <c r="L2" s="24"/>
      <c r="M2" s="34" t="s">
        <v>513</v>
      </c>
      <c r="O2" s="34" t="s">
        <v>596</v>
      </c>
      <c r="Q2" t="str">
        <f>IF('Pruebas Est'!B4="00","","FIID1")</f>
        <v>FIID1</v>
      </c>
      <c r="R2" t="str">
        <f>IF('Pruebas Ing Simulado'!B4="00","","FIID1")</f>
        <v>FIID1</v>
      </c>
      <c r="T2" s="269">
        <v>1</v>
      </c>
      <c r="U2" s="269" t="s">
        <v>798</v>
      </c>
    </row>
    <row r="3" spans="1:21" hidden="1">
      <c r="A3" s="147" t="s">
        <v>93</v>
      </c>
      <c r="B3" s="147" t="s">
        <v>94</v>
      </c>
      <c r="C3" s="148">
        <v>91</v>
      </c>
      <c r="E3" s="34" t="s">
        <v>380</v>
      </c>
      <c r="F3" s="24"/>
      <c r="G3" s="34" t="s">
        <v>408</v>
      </c>
      <c r="H3" s="24"/>
      <c r="I3" s="34" t="s">
        <v>414</v>
      </c>
      <c r="J3" s="24"/>
      <c r="K3" s="34" t="s">
        <v>63</v>
      </c>
      <c r="L3" s="24"/>
      <c r="M3" s="34" t="s">
        <v>455</v>
      </c>
      <c r="O3" s="34" t="s">
        <v>597</v>
      </c>
      <c r="Q3" t="str">
        <f>IF('Pruebas Est'!C4="00","","FIID2")</f>
        <v/>
      </c>
      <c r="R3" t="str">
        <f>IF('Pruebas Ing Simulado'!C4="00","","FIID2")</f>
        <v/>
      </c>
      <c r="T3" s="269">
        <v>2</v>
      </c>
      <c r="U3" s="269" t="s">
        <v>799</v>
      </c>
    </row>
    <row r="4" spans="1:21" hidden="1">
      <c r="A4" s="147" t="s">
        <v>78</v>
      </c>
      <c r="B4" s="147" t="s">
        <v>79</v>
      </c>
      <c r="C4" s="148">
        <v>83</v>
      </c>
      <c r="E4" s="24"/>
      <c r="F4" s="24"/>
      <c r="G4" s="24"/>
      <c r="H4" s="24"/>
      <c r="I4" s="24"/>
      <c r="J4" s="24"/>
      <c r="K4" s="34" t="s">
        <v>555</v>
      </c>
      <c r="L4" s="24"/>
      <c r="M4" s="34" t="s">
        <v>514</v>
      </c>
      <c r="Q4" t="str">
        <f>IF('Pruebas Est'!D4="00","","FIID3")</f>
        <v/>
      </c>
      <c r="R4" t="str">
        <f>IF('Pruebas Ing Simulado'!D4="00","","FIID3")</f>
        <v/>
      </c>
      <c r="T4" s="269">
        <v>3</v>
      </c>
      <c r="U4" s="269" t="s">
        <v>800</v>
      </c>
    </row>
    <row r="5" spans="1:21" hidden="1">
      <c r="A5" s="147" t="s">
        <v>47</v>
      </c>
      <c r="B5" s="147" t="s">
        <v>48</v>
      </c>
      <c r="C5" s="148">
        <v>52</v>
      </c>
      <c r="E5" s="24"/>
      <c r="F5" s="24"/>
      <c r="G5" s="24"/>
      <c r="H5" s="24"/>
      <c r="I5" s="24"/>
      <c r="J5" s="24"/>
      <c r="K5" s="24"/>
      <c r="L5" s="24"/>
      <c r="M5" s="24"/>
      <c r="T5" s="269">
        <v>5</v>
      </c>
      <c r="U5" s="269" t="s">
        <v>801</v>
      </c>
    </row>
    <row r="6" spans="1:21" hidden="1">
      <c r="A6" s="147" t="s">
        <v>51</v>
      </c>
      <c r="B6" s="147" t="s">
        <v>52</v>
      </c>
      <c r="C6" s="148">
        <v>64</v>
      </c>
      <c r="T6" s="269">
        <v>6</v>
      </c>
      <c r="U6" s="269" t="s">
        <v>802</v>
      </c>
    </row>
    <row r="7" spans="1:21" hidden="1">
      <c r="A7" s="147" t="s">
        <v>19</v>
      </c>
      <c r="B7" s="147" t="s">
        <v>20</v>
      </c>
      <c r="C7" s="148">
        <v>14</v>
      </c>
      <c r="T7" s="269">
        <v>7</v>
      </c>
      <c r="U7" s="269" t="s">
        <v>803</v>
      </c>
    </row>
    <row r="8" spans="1:21" hidden="1">
      <c r="A8" s="147" t="s">
        <v>9</v>
      </c>
      <c r="B8" s="147" t="s">
        <v>10</v>
      </c>
      <c r="C8" s="148">
        <v>7</v>
      </c>
      <c r="T8" s="269">
        <v>7</v>
      </c>
      <c r="U8" s="269" t="s">
        <v>804</v>
      </c>
    </row>
    <row r="9" spans="1:21" hidden="1">
      <c r="A9" s="147" t="s">
        <v>3</v>
      </c>
      <c r="B9" s="147" t="s">
        <v>4</v>
      </c>
      <c r="C9" s="148">
        <v>3</v>
      </c>
      <c r="T9" s="269">
        <v>8</v>
      </c>
      <c r="U9" s="269" t="s">
        <v>805</v>
      </c>
    </row>
    <row r="10" spans="1:21" hidden="1">
      <c r="A10" s="147" t="s">
        <v>18</v>
      </c>
      <c r="B10" s="147" t="s">
        <v>18</v>
      </c>
      <c r="C10" s="148">
        <v>13</v>
      </c>
      <c r="T10" s="269">
        <v>9</v>
      </c>
      <c r="U10" s="269" t="s">
        <v>806</v>
      </c>
    </row>
    <row r="11" spans="1:21" hidden="1">
      <c r="A11" s="147" t="s">
        <v>0</v>
      </c>
      <c r="B11" s="147" t="s">
        <v>0</v>
      </c>
      <c r="C11" s="148">
        <v>1</v>
      </c>
      <c r="T11" s="269">
        <v>10</v>
      </c>
      <c r="U11" s="269" t="s">
        <v>807</v>
      </c>
    </row>
    <row r="12" spans="1:21" hidden="1">
      <c r="A12" s="147" t="s">
        <v>82</v>
      </c>
      <c r="B12" s="147" t="s">
        <v>83</v>
      </c>
      <c r="C12" s="148">
        <v>85</v>
      </c>
      <c r="T12" s="269">
        <v>12</v>
      </c>
      <c r="U12" s="269" t="s">
        <v>808</v>
      </c>
    </row>
    <row r="13" spans="1:21" hidden="1">
      <c r="A13" s="147" t="s">
        <v>31</v>
      </c>
      <c r="B13" s="147" t="s">
        <v>32</v>
      </c>
      <c r="C13" s="148">
        <v>32</v>
      </c>
      <c r="T13" s="269">
        <v>13</v>
      </c>
      <c r="U13" s="269" t="s">
        <v>809</v>
      </c>
    </row>
    <row r="14" spans="1:21" hidden="1">
      <c r="A14" s="147" t="s">
        <v>13</v>
      </c>
      <c r="B14" s="147" t="s">
        <v>14</v>
      </c>
      <c r="C14" s="148">
        <v>9</v>
      </c>
      <c r="T14" s="269">
        <v>14</v>
      </c>
      <c r="U14" s="269" t="s">
        <v>810</v>
      </c>
    </row>
    <row r="15" spans="1:21" hidden="1">
      <c r="A15" s="147" t="s">
        <v>23</v>
      </c>
      <c r="B15" s="147" t="s">
        <v>24</v>
      </c>
      <c r="C15" s="148">
        <v>19</v>
      </c>
      <c r="T15" s="269">
        <v>17</v>
      </c>
      <c r="U15" s="269" t="s">
        <v>811</v>
      </c>
    </row>
    <row r="16" spans="1:21" hidden="1">
      <c r="A16" s="147" t="s">
        <v>34</v>
      </c>
      <c r="B16" s="147" t="s">
        <v>35</v>
      </c>
      <c r="C16" s="148">
        <v>37</v>
      </c>
      <c r="T16" s="269">
        <v>19</v>
      </c>
      <c r="U16" s="269" t="s">
        <v>812</v>
      </c>
    </row>
    <row r="17" spans="1:21" hidden="1">
      <c r="A17" s="147" t="s">
        <v>101</v>
      </c>
      <c r="B17" s="147" t="s">
        <v>102</v>
      </c>
      <c r="C17" s="148">
        <v>99</v>
      </c>
      <c r="T17" s="269">
        <v>23</v>
      </c>
      <c r="U17" s="269" t="s">
        <v>813</v>
      </c>
    </row>
    <row r="18" spans="1:21" hidden="1">
      <c r="A18" s="147" t="s">
        <v>39</v>
      </c>
      <c r="B18" s="147" t="s">
        <v>40</v>
      </c>
      <c r="C18" s="148">
        <v>44</v>
      </c>
      <c r="T18" s="269">
        <v>26</v>
      </c>
      <c r="U18" s="269" t="s">
        <v>814</v>
      </c>
    </row>
    <row r="19" spans="1:21" hidden="1">
      <c r="A19" s="147" t="s">
        <v>21</v>
      </c>
      <c r="B19" s="147" t="s">
        <v>22</v>
      </c>
      <c r="C19" s="148">
        <v>17</v>
      </c>
      <c r="T19" s="269">
        <v>27</v>
      </c>
      <c r="U19" s="269" t="s">
        <v>814</v>
      </c>
    </row>
    <row r="20" spans="1:21" hidden="1">
      <c r="A20" s="147" t="s">
        <v>58</v>
      </c>
      <c r="B20" s="147" t="s">
        <v>59</v>
      </c>
      <c r="C20" s="148">
        <v>69</v>
      </c>
      <c r="T20" s="269">
        <v>32</v>
      </c>
      <c r="U20" s="269" t="s">
        <v>815</v>
      </c>
    </row>
    <row r="21" spans="1:21" hidden="1">
      <c r="A21" s="147" t="s">
        <v>11</v>
      </c>
      <c r="B21" s="147" t="s">
        <v>12</v>
      </c>
      <c r="C21" s="148">
        <v>8</v>
      </c>
      <c r="T21" s="269">
        <v>34</v>
      </c>
      <c r="U21" s="269" t="s">
        <v>816</v>
      </c>
    </row>
    <row r="22" spans="1:21" hidden="1">
      <c r="A22" s="147" t="s">
        <v>7</v>
      </c>
      <c r="B22" s="147" t="s">
        <v>8</v>
      </c>
      <c r="C22" s="148">
        <v>6</v>
      </c>
      <c r="T22" s="269">
        <v>34</v>
      </c>
      <c r="U22" s="269" t="s">
        <v>817</v>
      </c>
    </row>
    <row r="23" spans="1:21" hidden="1">
      <c r="A23" s="147" t="s">
        <v>72</v>
      </c>
      <c r="B23" s="147" t="s">
        <v>73</v>
      </c>
      <c r="C23" s="148">
        <v>80</v>
      </c>
      <c r="T23" s="269">
        <v>37</v>
      </c>
      <c r="U23" s="269" t="s">
        <v>818</v>
      </c>
    </row>
    <row r="24" spans="1:21" hidden="1">
      <c r="A24" s="147" t="s">
        <v>91</v>
      </c>
      <c r="B24" s="147" t="s">
        <v>92</v>
      </c>
      <c r="C24" s="148">
        <v>90</v>
      </c>
      <c r="T24" s="269">
        <v>40</v>
      </c>
      <c r="U24" s="269" t="s">
        <v>819</v>
      </c>
    </row>
    <row r="25" spans="1:21">
      <c r="A25" s="147" t="s">
        <v>41</v>
      </c>
      <c r="B25" s="147" t="s">
        <v>42</v>
      </c>
      <c r="C25" s="148">
        <v>46</v>
      </c>
      <c r="T25" s="269">
        <v>41</v>
      </c>
      <c r="U25" s="269" t="s">
        <v>820</v>
      </c>
    </row>
    <row r="26" spans="1:21" hidden="1">
      <c r="A26" s="147" t="s">
        <v>43</v>
      </c>
      <c r="B26" s="147" t="s">
        <v>44</v>
      </c>
      <c r="C26" s="148">
        <v>47</v>
      </c>
      <c r="T26" s="269">
        <v>43</v>
      </c>
      <c r="U26" s="269" t="s">
        <v>821</v>
      </c>
    </row>
    <row r="27" spans="1:21" hidden="1">
      <c r="A27" s="147" t="s">
        <v>33</v>
      </c>
      <c r="B27" s="147" t="s">
        <v>347</v>
      </c>
      <c r="C27" s="148">
        <v>34</v>
      </c>
      <c r="T27" s="269">
        <v>44</v>
      </c>
      <c r="U27" s="269" t="s">
        <v>822</v>
      </c>
    </row>
    <row r="28" spans="1:21" hidden="1">
      <c r="A28" s="147" t="s">
        <v>33</v>
      </c>
      <c r="B28" s="147" t="s">
        <v>348</v>
      </c>
      <c r="C28" s="148">
        <v>51</v>
      </c>
      <c r="T28" s="269">
        <v>44</v>
      </c>
      <c r="U28" s="269" t="s">
        <v>823</v>
      </c>
    </row>
    <row r="29" spans="1:21" hidden="1">
      <c r="A29" s="147" t="s">
        <v>29</v>
      </c>
      <c r="B29" s="147" t="s">
        <v>30</v>
      </c>
      <c r="C29" s="148">
        <v>27</v>
      </c>
      <c r="T29" s="269">
        <v>46</v>
      </c>
      <c r="U29" s="269" t="s">
        <v>824</v>
      </c>
    </row>
    <row r="30" spans="1:21" hidden="1">
      <c r="A30" s="147" t="s">
        <v>54</v>
      </c>
      <c r="B30" s="147" t="s">
        <v>55</v>
      </c>
      <c r="C30" s="148">
        <v>67</v>
      </c>
      <c r="T30" s="269">
        <v>47</v>
      </c>
      <c r="U30" s="269" t="s">
        <v>825</v>
      </c>
    </row>
    <row r="31" spans="1:21" hidden="1">
      <c r="A31" s="147" t="s">
        <v>80</v>
      </c>
      <c r="B31" s="147" t="s">
        <v>81</v>
      </c>
      <c r="C31" s="148">
        <v>84</v>
      </c>
      <c r="T31" s="269">
        <v>49</v>
      </c>
      <c r="U31" s="269" t="s">
        <v>826</v>
      </c>
    </row>
    <row r="32" spans="1:21" hidden="1">
      <c r="A32" s="147" t="s">
        <v>84</v>
      </c>
      <c r="B32" s="147" t="s">
        <v>85</v>
      </c>
      <c r="C32" s="148">
        <v>86</v>
      </c>
      <c r="T32" s="269">
        <v>51</v>
      </c>
      <c r="U32" s="269" t="s">
        <v>827</v>
      </c>
    </row>
    <row r="33" spans="1:21" hidden="1">
      <c r="A33" s="147" t="s">
        <v>645</v>
      </c>
      <c r="B33" s="147" t="s">
        <v>645</v>
      </c>
      <c r="C33" s="148">
        <v>74</v>
      </c>
      <c r="T33" s="269">
        <v>52</v>
      </c>
      <c r="U33" s="269" t="s">
        <v>828</v>
      </c>
    </row>
    <row r="34" spans="1:21" hidden="1">
      <c r="A34" s="147" t="s">
        <v>60</v>
      </c>
      <c r="B34" s="147" t="s">
        <v>61</v>
      </c>
      <c r="C34" s="148">
        <v>70</v>
      </c>
      <c r="T34" s="269">
        <v>63</v>
      </c>
      <c r="U34" s="269" t="s">
        <v>829</v>
      </c>
    </row>
    <row r="35" spans="1:21" hidden="1">
      <c r="A35" s="147" t="s">
        <v>66</v>
      </c>
      <c r="B35" s="147" t="s">
        <v>67</v>
      </c>
      <c r="C35" s="148">
        <v>75</v>
      </c>
      <c r="T35" s="269">
        <v>64</v>
      </c>
      <c r="U35" s="269" t="s">
        <v>830</v>
      </c>
    </row>
    <row r="36" spans="1:21" hidden="1">
      <c r="A36" s="147" t="s">
        <v>56</v>
      </c>
      <c r="B36" s="147" t="s">
        <v>57</v>
      </c>
      <c r="C36" s="148">
        <v>68</v>
      </c>
      <c r="T36" s="269">
        <v>66</v>
      </c>
      <c r="U36" s="269" t="s">
        <v>831</v>
      </c>
    </row>
    <row r="37" spans="1:21" hidden="1">
      <c r="A37" s="147" t="s">
        <v>74</v>
      </c>
      <c r="B37" s="147" t="s">
        <v>75</v>
      </c>
      <c r="C37" s="148">
        <v>81</v>
      </c>
      <c r="T37" s="269">
        <v>66</v>
      </c>
      <c r="U37" s="269" t="s">
        <v>799</v>
      </c>
    </row>
    <row r="38" spans="1:21" hidden="1">
      <c r="A38" s="147" t="s">
        <v>49</v>
      </c>
      <c r="B38" s="147" t="s">
        <v>50</v>
      </c>
      <c r="C38" s="148">
        <v>63</v>
      </c>
      <c r="T38" s="269">
        <v>67</v>
      </c>
      <c r="U38" s="269" t="s">
        <v>817</v>
      </c>
    </row>
    <row r="39" spans="1:21" hidden="1">
      <c r="A39" s="147" t="s">
        <v>86</v>
      </c>
      <c r="B39" s="147" t="s">
        <v>87</v>
      </c>
      <c r="C39" s="148">
        <v>87</v>
      </c>
      <c r="T39" s="269">
        <v>68</v>
      </c>
      <c r="U39" s="269" t="s">
        <v>832</v>
      </c>
    </row>
    <row r="40" spans="1:21" hidden="1">
      <c r="A40" s="147" t="s">
        <v>16</v>
      </c>
      <c r="B40" s="147" t="s">
        <v>17</v>
      </c>
      <c r="C40" s="148">
        <v>12</v>
      </c>
      <c r="T40" s="269">
        <v>69</v>
      </c>
      <c r="U40" s="269" t="s">
        <v>833</v>
      </c>
    </row>
    <row r="41" spans="1:21" hidden="1">
      <c r="A41" s="147" t="s">
        <v>5</v>
      </c>
      <c r="B41" s="147" t="s">
        <v>6</v>
      </c>
      <c r="C41" s="148">
        <v>5</v>
      </c>
      <c r="T41" s="269">
        <v>69</v>
      </c>
      <c r="U41" s="269" t="s">
        <v>834</v>
      </c>
    </row>
    <row r="42" spans="1:21" hidden="1">
      <c r="A42" s="147" t="s">
        <v>15</v>
      </c>
      <c r="B42" s="147" t="s">
        <v>15</v>
      </c>
      <c r="C42" s="148">
        <v>10</v>
      </c>
      <c r="T42" s="269">
        <v>70</v>
      </c>
      <c r="U42" s="269" t="s">
        <v>835</v>
      </c>
    </row>
    <row r="43" spans="1:21" hidden="1">
      <c r="A43" s="147" t="s">
        <v>36</v>
      </c>
      <c r="B43" s="147" t="s">
        <v>36</v>
      </c>
      <c r="C43" s="148">
        <v>41</v>
      </c>
      <c r="T43" s="269">
        <v>73</v>
      </c>
      <c r="U43" s="269" t="s">
        <v>836</v>
      </c>
    </row>
    <row r="44" spans="1:21" hidden="1">
      <c r="A44" s="147" t="s">
        <v>88</v>
      </c>
      <c r="B44" s="147" t="s">
        <v>88</v>
      </c>
      <c r="C44" s="148">
        <v>88</v>
      </c>
      <c r="T44" s="269">
        <v>74</v>
      </c>
      <c r="U44" s="269" t="s">
        <v>837</v>
      </c>
    </row>
    <row r="45" spans="1:21" hidden="1">
      <c r="A45" s="147" t="s">
        <v>45</v>
      </c>
      <c r="B45" s="147" t="s">
        <v>46</v>
      </c>
      <c r="C45" s="148">
        <v>49</v>
      </c>
      <c r="T45" s="269">
        <v>82</v>
      </c>
      <c r="U45" s="269" t="s">
        <v>838</v>
      </c>
    </row>
    <row r="46" spans="1:21" hidden="1">
      <c r="A46" s="147" t="s">
        <v>76</v>
      </c>
      <c r="B46" s="147" t="s">
        <v>77</v>
      </c>
      <c r="C46" s="148">
        <v>82</v>
      </c>
      <c r="T46" s="269">
        <v>83</v>
      </c>
      <c r="U46" s="269" t="s">
        <v>839</v>
      </c>
    </row>
    <row r="47" spans="1:21" hidden="1">
      <c r="A47" s="147" t="s">
        <v>25</v>
      </c>
      <c r="B47" s="147" t="s">
        <v>26</v>
      </c>
      <c r="C47" s="148">
        <v>23</v>
      </c>
      <c r="T47" s="269">
        <v>8035</v>
      </c>
      <c r="U47" s="269" t="s">
        <v>840</v>
      </c>
    </row>
    <row r="48" spans="1:21" hidden="1">
      <c r="A48" s="147" t="s">
        <v>89</v>
      </c>
      <c r="B48" s="147" t="s">
        <v>90</v>
      </c>
      <c r="C48" s="148">
        <v>89</v>
      </c>
    </row>
    <row r="49" spans="1:3" hidden="1">
      <c r="A49" s="147" t="s">
        <v>1</v>
      </c>
      <c r="B49" s="147" t="s">
        <v>2</v>
      </c>
      <c r="C49" s="148">
        <v>2</v>
      </c>
    </row>
    <row r="50" spans="1:3" hidden="1">
      <c r="A50" s="147" t="s">
        <v>70</v>
      </c>
      <c r="B50" s="147" t="s">
        <v>71</v>
      </c>
      <c r="C50" s="148">
        <v>79</v>
      </c>
    </row>
    <row r="51" spans="1:3" hidden="1">
      <c r="A51" s="147" t="s">
        <v>62</v>
      </c>
      <c r="B51" s="147" t="s">
        <v>63</v>
      </c>
      <c r="C51" s="148">
        <v>72</v>
      </c>
    </row>
    <row r="52" spans="1:3" hidden="1">
      <c r="A52" s="147" t="s">
        <v>53</v>
      </c>
      <c r="B52" s="147" t="s">
        <v>53</v>
      </c>
      <c r="C52" s="148">
        <v>66</v>
      </c>
    </row>
    <row r="53" spans="1:3" hidden="1">
      <c r="A53" s="147" t="s">
        <v>64</v>
      </c>
      <c r="B53" s="147" t="s">
        <v>65</v>
      </c>
      <c r="C53" s="148">
        <v>73</v>
      </c>
    </row>
    <row r="54" spans="1:3" hidden="1">
      <c r="A54" s="147" t="s">
        <v>27</v>
      </c>
      <c r="B54" s="147" t="s">
        <v>28</v>
      </c>
      <c r="C54" s="148">
        <v>26</v>
      </c>
    </row>
    <row r="55" spans="1:3" hidden="1">
      <c r="A55" s="147" t="s">
        <v>95</v>
      </c>
      <c r="B55" s="147" t="s">
        <v>96</v>
      </c>
      <c r="C55" s="148">
        <v>93</v>
      </c>
    </row>
    <row r="56" spans="1:3" hidden="1">
      <c r="A56" s="147" t="s">
        <v>97</v>
      </c>
      <c r="B56" s="147" t="s">
        <v>98</v>
      </c>
      <c r="C56" s="148">
        <v>94</v>
      </c>
    </row>
    <row r="57" spans="1:3" hidden="1">
      <c r="A57" s="147" t="s">
        <v>68</v>
      </c>
      <c r="B57" s="147" t="s">
        <v>69</v>
      </c>
      <c r="C57" s="148">
        <v>77</v>
      </c>
    </row>
    <row r="58" spans="1:3" hidden="1">
      <c r="A58" s="147" t="s">
        <v>99</v>
      </c>
      <c r="B58" s="147" t="s">
        <v>100</v>
      </c>
      <c r="C58" s="148">
        <v>95</v>
      </c>
    </row>
    <row r="59" spans="1:3" hidden="1">
      <c r="A59" s="147" t="s">
        <v>454</v>
      </c>
      <c r="B59" s="147" t="s">
        <v>454</v>
      </c>
      <c r="C59" s="147" t="s">
        <v>455</v>
      </c>
    </row>
    <row r="60" spans="1:3" hidden="1">
      <c r="A60" s="232" t="s">
        <v>555</v>
      </c>
      <c r="B60" s="232" t="s">
        <v>555</v>
      </c>
      <c r="C60" s="233">
        <v>0</v>
      </c>
    </row>
    <row r="71" spans="9:12">
      <c r="I71" s="266"/>
      <c r="J71" s="266"/>
      <c r="K71" s="266"/>
    </row>
    <row r="72" spans="9:12">
      <c r="I72" s="266"/>
      <c r="J72" s="266"/>
      <c r="L72" s="266"/>
    </row>
    <row r="73" spans="9:12">
      <c r="I73" s="266"/>
      <c r="J73" s="266"/>
    </row>
    <row r="74" spans="9:12">
      <c r="I74" s="266"/>
      <c r="J74" s="266"/>
    </row>
    <row r="75" spans="9:12">
      <c r="I75" s="266"/>
      <c r="J75" s="266"/>
    </row>
    <row r="76" spans="9:12">
      <c r="I76" s="266"/>
      <c r="J76" s="266"/>
    </row>
    <row r="77" spans="9:12">
      <c r="I77" s="266"/>
      <c r="J77" s="266"/>
    </row>
  </sheetData>
  <autoFilter ref="A1:C60" xr:uid="{DB5D5CD3-A6F3-4355-8998-57173F05C615}">
    <filterColumn colId="2">
      <filters>
        <filter val="46"/>
      </filters>
    </filterColumn>
    <sortState xmlns:xlrd2="http://schemas.microsoft.com/office/spreadsheetml/2017/richdata2" ref="A2:C58">
      <sortCondition ref="B1:B58"/>
    </sortState>
  </autoFilter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5022D-F503-4BF5-AE38-BFA022095922}">
  <sheetPr codeName="Hoja2">
    <tabColor theme="9" tint="0.39997558519241921"/>
    <pageSetUpPr autoPageBreaks="0"/>
  </sheetPr>
  <dimension ref="A1:M101"/>
  <sheetViews>
    <sheetView topLeftCell="E79" zoomScale="76" zoomScaleNormal="76" workbookViewId="0">
      <selection activeCell="H87" sqref="H87"/>
    </sheetView>
  </sheetViews>
  <sheetFormatPr baseColWidth="10" defaultRowHeight="15.5"/>
  <cols>
    <col min="1" max="1" width="20" bestFit="1" customWidth="1"/>
    <col min="2" max="2" width="11" bestFit="1" customWidth="1"/>
    <col min="3" max="4" width="9.81640625" bestFit="1" customWidth="1"/>
    <col min="5" max="5" width="12.453125" bestFit="1" customWidth="1"/>
    <col min="6" max="6" width="15.7265625" customWidth="1"/>
    <col min="7" max="7" width="37.54296875" style="37" bestFit="1" customWidth="1"/>
    <col min="8" max="8" width="95.26953125" style="15" bestFit="1" customWidth="1"/>
    <col min="9" max="9" width="32.1796875" bestFit="1" customWidth="1"/>
    <col min="10" max="10" width="34.26953125" bestFit="1" customWidth="1"/>
    <col min="11" max="11" width="21.453125" bestFit="1" customWidth="1"/>
    <col min="12" max="12" width="13.7265625" customWidth="1"/>
  </cols>
  <sheetData>
    <row r="1" spans="1:11">
      <c r="A1" s="236" t="s">
        <v>136</v>
      </c>
      <c r="B1" s="295" t="s">
        <v>135</v>
      </c>
      <c r="C1" s="295"/>
      <c r="D1" s="295"/>
      <c r="E1" s="236" t="s">
        <v>134</v>
      </c>
      <c r="F1" s="2"/>
    </row>
    <row r="2" spans="1:11" ht="14.5">
      <c r="A2" s="236" t="s">
        <v>103</v>
      </c>
      <c r="B2" s="34" t="s">
        <v>42</v>
      </c>
      <c r="C2" s="34" t="s">
        <v>555</v>
      </c>
      <c r="D2" s="34" t="s">
        <v>555</v>
      </c>
      <c r="E2" s="34"/>
      <c r="G2"/>
      <c r="H2"/>
    </row>
    <row r="3" spans="1:11" ht="14.5">
      <c r="A3" s="236" t="s">
        <v>104</v>
      </c>
      <c r="B3" s="235">
        <f>VLOOKUP(B2,'Bancos y listas'!B:C,2,FALSE)</f>
        <v>46</v>
      </c>
      <c r="C3" s="235">
        <f>VLOOKUP(C2,'Bancos y listas'!B:C,2,FALSE)</f>
        <v>0</v>
      </c>
      <c r="D3" s="235">
        <f>VLOOKUP(D2,'Bancos y listas'!B:C,2,FALSE)</f>
        <v>0</v>
      </c>
      <c r="E3" s="34"/>
      <c r="G3"/>
      <c r="H3"/>
    </row>
    <row r="4" spans="1:11">
      <c r="A4" s="236" t="s">
        <v>104</v>
      </c>
      <c r="B4" s="235" t="str">
        <f>REPT("0",2-LEN(B3))&amp;VLOOKUP(B2,'Bancos y listas'!B:C,2,FALSE)</f>
        <v>46</v>
      </c>
      <c r="C4" s="235" t="str">
        <f>REPT("0",2-LEN(C3))&amp;VLOOKUP(C2,'Bancos y listas'!B:C,2,FALSE)</f>
        <v>00</v>
      </c>
      <c r="D4" s="235" t="str">
        <f>REPT("0",2-LEN(D3))&amp;VLOOKUP(D2,'Bancos y listas'!B:C,2,FALSE)</f>
        <v>00</v>
      </c>
      <c r="E4" s="34"/>
      <c r="F4" s="3"/>
    </row>
    <row r="5" spans="1:11" ht="15" customHeight="1">
      <c r="A5" s="236" t="s">
        <v>157</v>
      </c>
      <c r="B5" s="301">
        <v>20230712</v>
      </c>
      <c r="C5" s="302"/>
      <c r="D5" s="303"/>
      <c r="E5" s="110" t="s">
        <v>126</v>
      </c>
      <c r="F5" s="3"/>
    </row>
    <row r="6" spans="1:11" ht="15" customHeight="1">
      <c r="A6" s="237" t="s">
        <v>118</v>
      </c>
      <c r="B6" s="46">
        <v>485091</v>
      </c>
      <c r="C6" s="5"/>
      <c r="D6" s="5"/>
      <c r="E6" s="229"/>
      <c r="F6" s="3"/>
    </row>
    <row r="7" spans="1:11" ht="15" customHeight="1">
      <c r="A7" s="237" t="s">
        <v>117</v>
      </c>
      <c r="B7" s="6"/>
      <c r="C7" s="5"/>
      <c r="D7" s="5"/>
      <c r="E7" s="229"/>
      <c r="F7" s="3"/>
      <c r="G7" s="311" t="s">
        <v>137</v>
      </c>
      <c r="H7" s="313" t="str">
        <f>"CALL PGM(ELECTRON/CEC1835) PARM('B' '00"&amp;B4&amp;"')"</f>
        <v>CALL PGM(ELECTRON/CEC1835) PARM('B' '0046')</v>
      </c>
      <c r="I7" s="28" t="s">
        <v>110</v>
      </c>
      <c r="J7" s="17" t="s">
        <v>598</v>
      </c>
      <c r="K7" s="141" t="s">
        <v>146</v>
      </c>
    </row>
    <row r="8" spans="1:11" ht="15.75" customHeight="1">
      <c r="A8" s="237" t="s">
        <v>119</v>
      </c>
      <c r="B8" s="6"/>
      <c r="C8" s="246"/>
      <c r="D8" s="246"/>
      <c r="E8" s="229"/>
      <c r="F8" s="3"/>
      <c r="G8" s="312"/>
      <c r="H8" s="314"/>
      <c r="I8" s="28" t="s">
        <v>321</v>
      </c>
      <c r="J8" s="17" t="s">
        <v>599</v>
      </c>
      <c r="K8" s="95" t="s">
        <v>148</v>
      </c>
    </row>
    <row r="9" spans="1:11" ht="15.75" customHeight="1">
      <c r="A9" s="237" t="s">
        <v>120</v>
      </c>
      <c r="B9" s="5"/>
      <c r="C9" s="246"/>
      <c r="D9" s="246"/>
      <c r="E9" s="229"/>
      <c r="F9" s="3"/>
      <c r="G9" s="312"/>
      <c r="H9" s="314"/>
      <c r="I9" s="28" t="s">
        <v>111</v>
      </c>
      <c r="J9" s="17" t="s">
        <v>600</v>
      </c>
      <c r="K9" s="96" t="s">
        <v>147</v>
      </c>
    </row>
    <row r="10" spans="1:11" ht="15.75" customHeight="1">
      <c r="A10" s="237" t="s">
        <v>121</v>
      </c>
      <c r="B10" s="5"/>
      <c r="C10" s="246"/>
      <c r="D10" s="246"/>
      <c r="E10" s="229"/>
      <c r="F10" s="3"/>
      <c r="G10" s="312"/>
      <c r="H10" s="315"/>
      <c r="I10" s="28" t="s">
        <v>112</v>
      </c>
      <c r="J10" s="17" t="s">
        <v>601</v>
      </c>
      <c r="K10" s="143" t="s">
        <v>556</v>
      </c>
    </row>
    <row r="11" spans="1:11" ht="14.5">
      <c r="A11" s="238" t="s">
        <v>122</v>
      </c>
      <c r="B11" s="296" t="str">
        <f>IF(B7="","'"&amp;B6&amp;"'",IF(B8="","'"&amp;B6&amp;"',"&amp;"'"&amp;B7&amp;"'",IF(B9="","'"&amp;B6&amp;"',"&amp;"'"&amp;B7&amp;"',"&amp;"'"&amp;B8&amp;"'",IF(B10="","'"&amp;B6&amp;"',"&amp;"'"&amp;B7&amp;"',"&amp;"'"&amp;B8&amp;"',"&amp;"'"&amp;B9&amp;"'",IF(C6="","'"&amp;B6&amp;"',"&amp;"'"&amp;B7&amp;"',"&amp;"'"&amp;B8&amp;"',"&amp;"'"&amp;B9&amp;"',"&amp;"'"&amp;B10&amp;"'",IF(C7="","'"&amp;B6&amp;"',"&amp;"'"&amp;B7&amp;"',"&amp;"'"&amp;B8&amp;"',"&amp;"'"&amp;B9&amp;"',"&amp;"'"&amp;B10&amp;"',"&amp;"'"&amp;C6&amp;"'",IF(C8="","'"&amp;B6&amp;"',"&amp;"'"&amp;B7&amp;"',"&amp;"'"&amp;B8&amp;"',"&amp;"'"&amp;B9&amp;"',"&amp;"'"&amp;B10&amp;"',"&amp;"'"&amp;C6&amp;"',"&amp;"'"&amp;C7&amp;"'",)))))))</f>
        <v>'485091'</v>
      </c>
      <c r="C11" s="297"/>
      <c r="D11" s="298"/>
      <c r="E11" s="34"/>
      <c r="F11" s="3"/>
      <c r="G11" s="312"/>
      <c r="H11" s="318" t="str">
        <f>IF(C4="00","","CALL PGM(ELECTRON/CEC1835) PARM('B' '00"&amp;C4&amp;"')")</f>
        <v/>
      </c>
      <c r="I11" s="28" t="s">
        <v>320</v>
      </c>
      <c r="J11" s="17"/>
    </row>
    <row r="12" spans="1:11" ht="15" customHeight="1">
      <c r="A12" s="236" t="s">
        <v>129</v>
      </c>
      <c r="B12" s="300" t="b">
        <v>1</v>
      </c>
      <c r="C12" s="300"/>
      <c r="D12" s="300"/>
      <c r="E12" s="34" t="s">
        <v>413</v>
      </c>
      <c r="G12" s="312"/>
      <c r="H12" s="318"/>
      <c r="I12" s="28" t="s">
        <v>113</v>
      </c>
      <c r="J12" s="17"/>
    </row>
    <row r="13" spans="1:11" ht="15" customHeight="1">
      <c r="A13" s="236" t="s">
        <v>130</v>
      </c>
      <c r="B13" s="300" t="b">
        <v>1</v>
      </c>
      <c r="C13" s="300"/>
      <c r="D13" s="300"/>
      <c r="E13" s="34" t="s">
        <v>413</v>
      </c>
      <c r="G13" s="312"/>
      <c r="H13" s="318"/>
      <c r="I13" s="28" t="s">
        <v>114</v>
      </c>
      <c r="J13" s="17"/>
    </row>
    <row r="14" spans="1:11" ht="15" customHeight="1">
      <c r="A14" s="236" t="s">
        <v>131</v>
      </c>
      <c r="B14" s="300" t="b">
        <v>1</v>
      </c>
      <c r="C14" s="300"/>
      <c r="D14" s="300"/>
      <c r="E14" s="34" t="s">
        <v>413</v>
      </c>
      <c r="G14" s="312"/>
      <c r="H14" s="318" t="str">
        <f>IF(D4="00","","CALL PGM(ELECTRON/CEC1835) PARM('B' '00"&amp;D4&amp;"')")</f>
        <v/>
      </c>
      <c r="I14" s="28" t="str">
        <f>"CLRPFM file(TD"&amp;REPT(0,4-LEN(B4))&amp;B4&amp;"/CANJEIT2)"</f>
        <v>CLRPFM file(TD0046/CANJEIT2)</v>
      </c>
      <c r="J14" s="17"/>
    </row>
    <row r="15" spans="1:11" ht="15" customHeight="1">
      <c r="A15" s="236" t="s">
        <v>616</v>
      </c>
      <c r="B15" s="300" t="b">
        <v>0</v>
      </c>
      <c r="C15" s="300"/>
      <c r="D15" s="300"/>
      <c r="E15" s="34"/>
      <c r="G15" s="312"/>
      <c r="H15" s="318"/>
      <c r="I15" s="28" t="str">
        <f>"CLRPFM file(TD"&amp;REPT(0,4-LEN($B$4))&amp;$B$4&amp;"/CANJEITX)"</f>
        <v>CLRPFM file(TD0046/CANJEITX)</v>
      </c>
      <c r="J15" s="17"/>
    </row>
    <row r="16" spans="1:11" ht="15" customHeight="1">
      <c r="A16" s="236" t="s">
        <v>411</v>
      </c>
      <c r="B16" s="300"/>
      <c r="C16" s="300"/>
      <c r="D16" s="300"/>
      <c r="E16" s="34"/>
      <c r="G16" s="312"/>
      <c r="H16" s="318"/>
      <c r="I16" s="28" t="s">
        <v>634</v>
      </c>
      <c r="J16" s="17"/>
    </row>
    <row r="17" spans="1:13" ht="14.5">
      <c r="A17" s="239" t="s">
        <v>146</v>
      </c>
      <c r="B17" s="300" t="b">
        <v>1</v>
      </c>
      <c r="C17" s="300"/>
      <c r="D17" s="300"/>
      <c r="E17" s="34"/>
      <c r="G17" s="312"/>
      <c r="H17" s="318"/>
      <c r="I17" s="28" t="s">
        <v>322</v>
      </c>
      <c r="J17" s="17"/>
    </row>
    <row r="18" spans="1:13" ht="15" customHeight="1">
      <c r="A18" s="240" t="s">
        <v>148</v>
      </c>
      <c r="B18" s="300" t="b">
        <v>0</v>
      </c>
      <c r="C18" s="300"/>
      <c r="D18" s="300"/>
      <c r="E18" s="34"/>
      <c r="G18"/>
      <c r="H18"/>
    </row>
    <row r="19" spans="1:13" ht="15" customHeight="1">
      <c r="A19" s="241" t="s">
        <v>508</v>
      </c>
      <c r="B19" s="299" t="s">
        <v>555</v>
      </c>
      <c r="C19" s="299"/>
      <c r="D19" s="299"/>
      <c r="E19" s="34"/>
      <c r="G19" s="140" t="s">
        <v>138</v>
      </c>
      <c r="H19" s="28" t="s">
        <v>109</v>
      </c>
    </row>
    <row r="20" spans="1:13" ht="15" customHeight="1">
      <c r="A20" s="153"/>
      <c r="B20" s="154"/>
      <c r="C20" s="154"/>
      <c r="D20" s="154"/>
      <c r="G20"/>
      <c r="H20"/>
    </row>
    <row r="21" spans="1:13">
      <c r="G21" s="89" t="s">
        <v>128</v>
      </c>
      <c r="H21" s="28" t="s">
        <v>128</v>
      </c>
    </row>
    <row r="23" spans="1:13" ht="15" customHeight="1">
      <c r="G23" s="312" t="s">
        <v>139</v>
      </c>
      <c r="H23" s="313" t="str">
        <f>"CALL PGM(ELECTRON/CEC1835) PARM('C' '0000')"</f>
        <v>CALL PGM(ELECTRON/CEC1835) PARM('C' '0000')</v>
      </c>
      <c r="I23" s="304" t="s">
        <v>602</v>
      </c>
      <c r="J23" s="304"/>
      <c r="K23" s="304"/>
      <c r="L23" s="304"/>
      <c r="M23" s="141" t="s">
        <v>146</v>
      </c>
    </row>
    <row r="24" spans="1:13" ht="15" customHeight="1">
      <c r="G24" s="312"/>
      <c r="H24" s="314"/>
      <c r="I24" s="304" t="s">
        <v>603</v>
      </c>
      <c r="J24" s="304"/>
      <c r="K24" s="304"/>
      <c r="L24" s="304"/>
      <c r="M24" s="95" t="s">
        <v>148</v>
      </c>
    </row>
    <row r="25" spans="1:13" ht="15" customHeight="1">
      <c r="G25" s="312"/>
      <c r="H25" s="314"/>
      <c r="I25" s="304" t="s">
        <v>591</v>
      </c>
      <c r="J25" s="304"/>
      <c r="K25" s="304"/>
      <c r="L25" s="304"/>
      <c r="M25" s="96" t="s">
        <v>147</v>
      </c>
    </row>
    <row r="26" spans="1:13" ht="15" customHeight="1">
      <c r="G26" s="312"/>
      <c r="H26" s="314"/>
      <c r="I26" s="304" t="s">
        <v>635</v>
      </c>
      <c r="J26" s="304"/>
      <c r="K26" s="304"/>
      <c r="L26" s="304"/>
      <c r="M26" s="143" t="s">
        <v>556</v>
      </c>
    </row>
    <row r="27" spans="1:13" ht="15" customHeight="1">
      <c r="G27" s="312"/>
      <c r="H27" s="314"/>
      <c r="I27" s="304" t="s">
        <v>166</v>
      </c>
      <c r="J27" s="304"/>
      <c r="K27" s="304"/>
      <c r="L27" s="304"/>
      <c r="M27" s="110" t="s">
        <v>154</v>
      </c>
    </row>
    <row r="28" spans="1:13" ht="15" customHeight="1">
      <c r="G28" s="312"/>
      <c r="H28" s="314"/>
      <c r="I28" s="304" t="s">
        <v>167</v>
      </c>
      <c r="J28" s="304"/>
      <c r="K28" s="304"/>
      <c r="L28" s="304"/>
      <c r="M28" s="110" t="s">
        <v>155</v>
      </c>
    </row>
    <row r="29" spans="1:13" ht="15" customHeight="1">
      <c r="G29" s="312"/>
      <c r="H29" s="314"/>
      <c r="I29" s="304" t="s">
        <v>168</v>
      </c>
      <c r="J29" s="304"/>
      <c r="K29" s="304"/>
      <c r="L29" s="304"/>
      <c r="M29" s="110" t="s">
        <v>156</v>
      </c>
    </row>
    <row r="30" spans="1:13" ht="15" customHeight="1">
      <c r="G30" s="312"/>
      <c r="H30" s="314"/>
      <c r="I30" s="304" t="s">
        <v>169</v>
      </c>
      <c r="J30" s="304"/>
      <c r="K30" s="304"/>
      <c r="L30" s="304"/>
      <c r="M30" s="110" t="s">
        <v>171</v>
      </c>
    </row>
    <row r="31" spans="1:13" ht="15" customHeight="1">
      <c r="G31" s="312"/>
      <c r="H31" s="315"/>
      <c r="I31" s="304" t="s">
        <v>170</v>
      </c>
      <c r="J31" s="304"/>
      <c r="K31" s="304"/>
      <c r="L31" s="304"/>
      <c r="M31" s="110" t="s">
        <v>172</v>
      </c>
    </row>
    <row r="33" spans="7:12" ht="15" customHeight="1">
      <c r="G33" s="307" t="s">
        <v>316</v>
      </c>
      <c r="H33" s="28" t="s">
        <v>317</v>
      </c>
      <c r="I33" s="141" t="s">
        <v>146</v>
      </c>
    </row>
    <row r="34" spans="7:12" ht="15" customHeight="1">
      <c r="G34" s="307"/>
      <c r="H34" s="28" t="s">
        <v>318</v>
      </c>
      <c r="I34" s="95" t="s">
        <v>148</v>
      </c>
    </row>
    <row r="35" spans="7:12" ht="15" customHeight="1">
      <c r="G35" s="307"/>
      <c r="H35" s="28" t="str">
        <f>"WRKF FILE("&amp;IF(B19="EASV","SWITCH","CANJE")&amp;"/"&amp;IF(B19="EASV","SWFCAJER","SWFCAJER")&amp;")"</f>
        <v>WRKF FILE(CANJE/SWFCAJER)</v>
      </c>
      <c r="I35" s="96" t="s">
        <v>147</v>
      </c>
    </row>
    <row r="36" spans="7:12" ht="15.75" customHeight="1">
      <c r="G36" s="307"/>
      <c r="H36" s="28" t="s">
        <v>565</v>
      </c>
      <c r="I36" s="143" t="s">
        <v>556</v>
      </c>
    </row>
    <row r="37" spans="7:12">
      <c r="I37" s="142"/>
    </row>
    <row r="38" spans="7:12">
      <c r="G38" s="38" t="s">
        <v>116</v>
      </c>
      <c r="H38" s="28" t="s">
        <v>116</v>
      </c>
    </row>
    <row r="40" spans="7:12" ht="75" customHeight="1">
      <c r="G40" s="39" t="s">
        <v>637</v>
      </c>
      <c r="H40" s="35" t="str">
        <f>IF(B19="EASV",IF(AND(L44=TRUE,L45=TRUE,L46=TRUE),"SELECT DFHTRA, DCDMSG, DCDTYP, DCCADQ, DCCEMI,substr(DCDTAR, 1, 6)||'********'||substr(DCDTAR, 15, 2) AS TARJPRO, DMONT1,DCPAIS,     
DCDRES, DCDAUT FROM BODEGATMP/FTLF_YS where DCCEMI like '%"&amp;B4&amp;"%' AND substr(DCDTAR, 1, 6)in ("&amp;B11&amp;") and DCDAUT&lt;&gt;''  ORDER BY DCDAUT",IF(AND(L44=TRUE,L45=TRUE),"SELECT DFHTRA, DCDMSG, DCDTYP, DCCADQ, DCCEMI,substr(DCDTAR, 1, 6)||'********'||substr(DCDTAR, 15, 2) AS TARJPRO, DMONT1,DCPAIS,     
DCDRES, DCDAUT FROM BODEGATMP/FTLF_YS where  substr(DCDTAR, 1, 6)in ("&amp;B11&amp;") and DCDAUT&lt;&gt;''  ORDER BY DCDAUT",IF(AND(L45=TRUE,L46=TRUE),"SELECT DFHTRA, DCDMSG, DCDTYP, DCCADQ, DCCEMI,substr(DCDTAR, 1, 6)||'********'||substr(DCDTAR, 15, 2) AS TARJPRO, DMONT1,DCPAIS,     
DCDRES, DCDAUT FROM BODEGATMP/FTLF_YS where DCCEMI like '%"&amp;B4&amp;"%' AND substr(DCDTAR, 1, 6)in ("&amp;B11&amp;") ORDER BY DCDAUT",IF(AND(L44=TRUE,L46=TRUE),"SELECT DFHTRA, DCDMSG, DCDTYP, DCCADQ, DCCEMI,substr(DCDTAR, 1, 6)||'********'||substr(DCDTAR, 15, 2) AS TARJPRO, DMONT1,DCPAIS,     
DCDRES, DCDAUT FROM BODEGATMP/FTLF_YS where DCCEMI like '%"&amp;B4&amp;"%' and DCDAUT&lt;&gt;''  ORDER BY DCDAUT",IF(L44=TRUE,"SELECT DFHTRA, DCDMSG, DCDTYP, DCCADQ, DCCEMI,substr(DCDTAR, 1, 6)||'********'||substr(DCDTAR, 15, 2) AS TARJPRO, DMONT1,DCPAIS,     
DCDRES, DCDAUT FROM BODEGATMP/FTLF_YS where DCDAUT&lt;&gt;''  ORDER BY DCDAUT",IF(L45=TRUE,"SELECT DFHTRA, DCDMSG, DCDTYP, DCCADQ, DCCEMI,substr(DCDTAR, 1, 6)||'********'||substr(DCDTAR, 15, 2) AS TARJPRO, DMONT1,DCPAIS,     
DCDRES, DCDAUT FROM BODEGATMP/FTLF_YS where  substr(DCDTAR, 1, 6)in ("&amp;B11&amp;") ORDER BY DCDAUT",IF(L46=TRUE,"SELECT DFHTRA, DCDMSG, DCDTYP, DCCADQ, DCCEMI,substr(DCDTAR, 1, 6)||'********'||substr(DCDTAR, 15, 2) AS TARJPRO, DMONT1,DCPAIS,     
DCDRES, DCDAUT FROM BODEGATMP/FTLF_YS where DCCEMI like '%"&amp;B4&amp;"%' ORDER BY DCDAUT","SELECT DFHTRA, DCDMSG, DCDTYP, DCCADQ, DCCEMI,substr(DCDTAR, 1, 6)||'********'||substr(DCDTAR, 15, 2) AS TARJPRO, DMONT1,DCPAIS,     
DCDRES, DCDAUT FROM BODEGATMP/FTLF_YS  ORDER BY DCDAUT"))))))),IF(B19="REDEBAN",IF(AND(L44=TRUE,L45=TRUE,L46=TRUE),"SELECT DFHTRA, DCDMSG, DCDTYP, DCCADQ, DCCEMI,substr(DCDTAR, 1, 6)||'********'||substr(DCDTAR, 15, 2) AS TARJPRO, DMONT1,DCPAIS,     
DCDRES, DCDAUT FROM BODEGATMP/FTLF_NS where DCCEMI like '%"&amp;B4&amp;"%' AND substr(DCDTAR, 1, 6)in ("&amp;B11&amp;") and DCDAUT&lt;&gt;''  ORDER BY DCDAUT",IF(AND(L44=TRUE,L45=TRUE),"SELECT DFHTRA, DCDMSG, DCDTYP, DCCADQ, DCCEMI,substr(DCDTAR, 1, 6)||'********'||substr(DCDTAR, 15, 2) AS TARJPRO, DMONT1,DCPAIS,     
DCDRES, DCDAUT FROM BODEGATMP/FTLF_NS where  substr(DCDTAR, 1, 6)in ("&amp;B11&amp;") and DCDAUT&lt;&gt;''  ORDER BY DCDAUT",IF(AND(L45=TRUE,L46=TRUE),"SELECT DFHTRA, DCDMSG, DCDTYP, DCCADQ, DCCEMI,substr(DCDTAR, 1, 6)||'********'||substr(DCDTAR, 15, 2) AS TARJPRO, DMONT1,DCPAIS,     
DCDRES, DCDAUT FROM BODEGATMP/FTLF_NS where DCCEMI like '%"&amp;B4&amp;"%' AND substr(DCDTAR, 1, 6)in ("&amp;B11&amp;") ORDER BY DCDAUT",IF(AND(L44=TRUE,L46=TRUE),"SELECT DFHTRA, DCDMSG, DCDTYP, DCCADQ, DCCEMI,substr(DCDTAR, 1, 6)||'********'||substr(DCDTAR, 15, 2) AS TARJPRO, DMONT1,DCPAIS,     
DCDRES, DCDAUT FROM BODEGATMP/FTLF_NS where DCCEMI like '%"&amp;B4&amp;"%' and DCDAUT&lt;&gt;''  ORDER BY DCDAUT",IF(L44=TRUE,"SELECT DFHTRA, DCDMSG, DCDTYP, DCCADQ, DCCEMI,substr(DCDTAR, 1, 6)||'********'||substr(DCDTAR, 15, 2) AS TARJPRO, DMONT1,DCPAIS,     
DCDRES, DCDAUT FROM BODEGATMP/FTLF_NS where DCDAUT&lt;&gt;''  ORDER BY DCDAUT",IF(L45=TRUE,"SELECT DFHTRA, DCDMSG, DCDTYP, DCCADQ, DCCEMI,substr(DCDTAR, 1, 6)||'********'||substr(DCDTAR, 15, 2) AS TARJPRO, DMONT1,DCPAIS,     
DCDRES, DCDAUT FROM BODEGATMP/FTLF_NS where  substr(DCDTAR, 1, 6)in ("&amp;B11&amp;") ORDER BY DCDAUT",IF(L46=TRUE,"SELECT DFHTRA, DCDMSG, DCDTYP, DCCADQ, DCCEMI,substr(DCDTAR, 1, 6)||'********'||substr(DCDTAR, 15, 2) AS TARJPRO, DMONT1,DCPAIS,     
DCDRES, DCDAUT FROM BODEGATMP/FTLF_NS where DCCEMI like '%"&amp;B4&amp;"%' ORDER BY DCDAUT","SELECT DFHTRA, DCDMSG, DCDTYP, DCCADQ, DCCEMI,substr(DCDTAR, 1, 6)||'********'||substr(DCDTAR, 15, 2) AS TARJPRO, DMONT1,DCPAIS,     
DCDRES, DCDAUT FROM BODEGATMP/FTLF_NS  ORDER BY DCDAUT"))))))),""))</f>
        <v/>
      </c>
      <c r="I40" s="308" t="str">
        <f>B19</f>
        <v>NINGUNO</v>
      </c>
    </row>
    <row r="41" spans="7:12" ht="75" customHeight="1">
      <c r="G41" s="39" t="s">
        <v>638</v>
      </c>
      <c r="H41" s="35" t="str">
        <f>IF(C4="00","",IF(B19="EASV",IF(AND(L44=TRUE,L45=TRUE,L46=TRUE),"SELECT DFHTRA, DCDMSG, DCDTYP, DCCADQ, DCCEMI,substr(DCDTAR, 1, 6)||'********'||substr(DCDTAR, 15, 2) AS TARJPRO, DMONT1,DCPAIS,     
DCDRES, DCDAUT FROM BODEGATMP/FTLF_YS where DCCEMI like '%"&amp;C4&amp;"%' AND substr(DCDTAR, 1, 6)in ("&amp;B11&amp;") and DCDAUT&lt;&gt;''  ORDER BY DCDAUT",IF(AND(L44=TRUE,L45=TRUE),"SELECT DFHTRA, DCDMSG, DCDTYP, DCCADQ, DCCEMI,substr(DCDTAR, 1, 6)||'********'||substr(DCDTAR, 15, 2) AS TARJPRO, DMONT1,DCPAIS,     
DCDRES, DCDAUT FROM BODEGATMP/FTLF_YS where  substr(DCDTAR, 1, 6)in ("&amp;B11&amp;") and DCDAUT&lt;&gt;''  ORDER BY DCDAUT",IF(AND(L45=TRUE,L46=TRUE),"SELECT DFHTRA, DCDMSG, DCDTYP, DCCADQ, DCCEMI,substr(DCDTAR, 1, 6)||'********'||substr(DCDTAR, 15, 2) AS TARJPRO, DMONT1,DCPAIS,     
DCDRES, DCDAUT FROM BODEGATMP/FTLF_YS where DCCEMI like '%"&amp;C4&amp;"%' AND substr(DCDTAR, 1, 6)in ("&amp;B11&amp;") ORDER BY DCDAUT",IF(AND(L44=TRUE,L46=TRUE),"SELECT DFHTRA, DCDMSG, DCDTYP, DCCADQ, DCCEMI,substr(DCDTAR, 1, 6)||'********'||substr(DCDTAR, 15, 2) AS TARJPRO, DMONT1,DCPAIS,     
DCDRES, DCDAUT FROM BODEGATMP/FTLF_YS where DCCEMI like '%"&amp;C4&amp;"%' and DCDAUT&lt;&gt;''  ORDER BY DCDAUT",IF(L44=TRUE,"SELECT DFHTRA, DCDMSG, DCDTYP, DCCADQ, DCCEMI,substr(DCDTAR, 1, 6)||'********'||substr(DCDTAR, 15, 2) AS TARJPRO, DMONT1,DCPAIS,     
DCDRES, DCDAUT FROM BODEGATMP/FTLF_YS where DCDAUT&lt;&gt;''  ORDER BY DCDAUT",IF(L45=TRUE,"SELECT DFHTRA, DCDMSG, DCDTYP, DCCADQ, DCCEMI,substr(DCDTAR, 1, 6)||'********'||substr(DCDTAR, 15, 2) AS TARJPRO, DMONT1,DCPAIS,     
DCDRES, DCDAUT FROM BODEGATMP/FTLF_YS where  substr(DCDTAR, 1, 6)in ("&amp;B11&amp;") ORDER BY DCDAUT",IF(L46=TRUE,"SELECT DFHTRA, DCDMSG, DCDTYP, DCCADQ, DCCEMI,substr(DCDTAR, 1, 6)||'********'||substr(DCDTAR, 15, 2) AS TARJPRO, DMONT1,DCPAIS,     
DCDRES, DCDAUT FROM BODEGATMP/FTLF_YS where DCCEMI like '%"&amp;C4&amp;"%' ORDER BY DCDAUT","SELECT DFHTRA, DCDMSG, DCDTYP, DCCADQ, DCCEMI,substr(DCDTAR, 1, 6)||'********'||substr(DCDTAR, 15, 2) AS TARJPRO, DMONT1,DCPAIS,     
DCDRES, DCDAUT FROM BODEGATMP/FTLF_YS  ORDER BY DCDAUT"))))))),IF(B19="REDEBAN",IF(AND(L44=TRUE,L45=TRUE,L46=TRUE),"SELECT DFHTRA, DCDMSG, DCDTYP, DCCADQ, DCCEMI,substr(DCDTAR, 1, 6)||'********'||substr(DCDTAR, 15, 2) AS TARJPRO, DMONT1,DCPAIS,     
DCDRES, DCDAUT FROM BODEGATMP/FTLF_NS where DCCEMI like '%"&amp;C4&amp;"%' AND substr(DCDTAR, 1, 6)in ("&amp;B11&amp;") and DCDAUT&lt;&gt;''  ORDER BY DCDAUT",IF(AND(L44=TRUE,L45=TRUE),"SELECT DFHTRA, DCDMSG, DCDTYP, DCCADQ, DCCEMI,substr(DCDTAR, 1, 6)||'********'||substr(DCDTAR, 15, 2) AS TARJPRO, DMONT1,DCPAIS,     
DCDRES, DCDAUT FROM BODEGATMP/FTLF_NS where  substr(DCDTAR, 1, 6)in ("&amp;B11&amp;") and DCDAUT&lt;&gt;''  ORDER BY DCDAUT",IF(AND(L45=TRUE,L46=TRUE),"SELECT DFHTRA, DCDMSG, DCDTYP, DCCADQ, DCCEMI,substr(DCDTAR, 1, 6)||'********'||substr(DCDTAR, 15, 2) AS TARJPRO, DMONT1,DCPAIS,     
DCDRES, DCDAUT FROM BODEGATMP/FTLF_NS where DCCEMI like '%"&amp;C4&amp;"%' AND substr(DCDTAR, 1, 6)in ("&amp;B11&amp;") ORDER BY DCDAUT",IF(AND(L44=TRUE,L46=TRUE),"SELECT DFHTRA, DCDMSG, DCDTYP, DCCADQ, DCCEMI,substr(DCDTAR, 1, 6)||'********'||substr(DCDTAR, 15, 2) AS TARJPRO, DMONT1,DCPAIS,     
DCDRES, DCDAUT FROM BODEGATMP/FTLF_NS where DCCEMI like '%"&amp;C4&amp;"%' and DCDAUT&lt;&gt;''  ORDER BY DCDAUT",IF(L44=TRUE,"SELECT DFHTRA, DCDMSG, DCDTYP, DCCADQ, DCCEMI,substr(DCDTAR, 1, 6)||'********'||substr(DCDTAR, 15, 2) AS TARJPRO, DMONT1,DCPAIS,     
DCDRES, DCDAUT FROM BODEGATMP/FTLF_NS where DCDAUT&lt;&gt;''  ORDER BY DCDAUT",IF(L45=TRUE,"SELECT DFHTRA, DCDMSG, DCDTYP, DCCADQ, DCCEMI,substr(DCDTAR, 1, 6)||'********'||substr(DCDTAR, 15, 2) AS TARJPRO, DMONT1,DCPAIS,     
DCDRES, DCDAUT FROM BODEGATMP/FTLF_NS where  substr(DCDTAR, 1, 6)in ("&amp;B11&amp;") ORDER BY DCDAUT",IF(L46=TRUE,"SELECT DFHTRA, DCDMSG, DCDTYP, DCCADQ, DCCEMI,substr(DCDTAR, 1, 6)||'********'||substr(DCDTAR, 15, 2) AS TARJPRO, DMONT1,DCPAIS,     
DCDRES, DCDAUT FROM BODEGATMP/FTLF_NS where DCCEMI like '%"&amp;C4&amp;"%' ORDER BY DCDAUT","SELECT DFHTRA, DCDMSG, DCDTYP, DCCADQ, DCCEMI,substr(DCDTAR, 1, 6)||'********'||substr(DCDTAR, 15, 2) AS TARJPRO, DMONT1,DCPAIS,     
DCDRES, DCDAUT FROM BODEGATMP/FTLF_NS  ORDER BY DCDAUT"))))))),"")))</f>
        <v/>
      </c>
      <c r="I41" s="309"/>
    </row>
    <row r="42" spans="7:12" ht="75" customHeight="1">
      <c r="G42" s="39" t="s">
        <v>639</v>
      </c>
      <c r="H42" s="35" t="str">
        <f>IF(D4="00","",IF(B19="EASV",IF(AND(L44=TRUE,L45=TRUE,L46=TRUE),"SELECT DFHTRA, DCDMSG, DCDTYP, DCCADQ, DCCEMI,substr(DCDTAR, 1, 6)||'********'||substr(DCDTAR, 15, 2) AS TARJPRO, DMONT1,DCPAIS,     
DCDRES, DCDAUT FROM BODEGATMP/FTLF_YS where DCCEMI like '%"&amp;D4&amp;"%' AND substr(DCDTAR, 1, 6)in ("&amp;B11&amp;") and DCDAUT&lt;&gt;''  ORDER BY DCDAUT",IF(AND(L44=TRUE,L45=TRUE),"SELECT DFHTRA, DCDMSG, DCDTYP, DCCADQ, DCCEMI,substr(DCDTAR, 1, 6)||'********'||substr(DCDTAR, 15, 2) AS TARJPRO, DMONT1,DCPAIS,     
DCDRES, DCDAUT FROM BODEGATMP/FTLF_YS where  substr(DCDTAR, 1, 6)in ("&amp;B11&amp;") and DCDAUT&lt;&gt;''  ORDER BY DCDAUT",IF(AND(L45=TRUE,L46=TRUE),"SELECT DFHTRA, DCDMSG, DCDTYP, DCCADQ, DCCEMI,substr(DCDTAR, 1, 6)||'********'||substr(DCDTAR, 15, 2) AS TARJPRO, DMONT1,DCPAIS,     
DCDRES, DCDAUT FROM BODEGATMP/FTLF_YS where DCCEMI like '%"&amp;D4&amp;"%' AND substr(DCDTAR, 1, 6)in ("&amp;B11&amp;") ORDER BY DCDAUT",IF(AND(L44=TRUE,L46=TRUE),"SELECT DFHTRA, DCDMSG, DCDTYP, DCCADQ, DCCEMI,substr(DCDTAR, 1, 6)||'********'||substr(DCDTAR, 15, 2) AS TARJPRO, DMONT1,DCPAIS,     
DCDRES, DCDAUT FROM BODEGATMP/FTLF_YS where DCCEMI like '%"&amp;D4&amp;"%' and DCDAUT&lt;&gt;''  ORDER BY DCDAUT",IF(L44=TRUE,"SELECT DFHTRA, DCDMSG, DCDTYP, DCCADQ, DCCEMI,substr(DCDTAR, 1, 6)||'********'||substr(DCDTAR, 15, 2) AS TARJPRO, DMONT1,DCPAIS,     
DCDRES, DCDAUT FROM BODEGATMP/FTLF_YS where DCDAUT&lt;&gt;''  ORDER BY DCDAUT",IF(L45=TRUE,"SELECT DFHTRA, DCDMSG, DCDTYP, DCCADQ, DCCEMI,substr(DCDTAR, 1, 6)||'********'||substr(DCDTAR, 15, 2) AS TARJPRO, DMONT1,DCPAIS,     
DCDRES, DCDAUT FROM BODEGATMP/FTLF_YS where  substr(DCDTAR, 1, 6)in ("&amp;B11&amp;") ORDER BY DCDAUT",IF(L46=TRUE,"SELECT DFHTRA, DCDMSG, DCDTYP, DCCADQ, DCCEMI,substr(DCDTAR, 1, 6)||'********'||substr(DCDTAR, 15, 2) AS TARJPRO, DMONT1,DCPAIS,     
DCDRES, DCDAUT FROM BODEGATMP/FTLF_YS where DCCEMI like '%"&amp;D4&amp;"%' ORDER BY DCDAUT","SELECT DFHTRA, DCDMSG, DCDTYP, DCCADQ, DCCEMI,substr(DCDTAR, 1, 6)||'********'||substr(DCDTAR, 15, 2) AS TARJPRO, DMONT1,DCPAIS,     
DCDRES, DCDAUT FROM BODEGATMP/FTLF_YS  ORDER BY DCDAUT"))))))),IF(B19="REDEBAN",IF(AND(L44=TRUE,L45=TRUE,L46=TRUE),"SELECT DFHTRA, DCDMSG, DCDTYP, DCCADQ, DCCEMI,substr(DCDTAR, 1, 6)||'********'||substr(DCDTAR, 15, 2) AS TARJPRO, DMONT1,DCPAIS,     
DCDRES, DCDAUT FROM BODEGATMP/FTLF_NS where DCCEMI like '%"&amp;D4&amp;"%' AND substr(DCDTAR, 1, 6)in ("&amp;B11&amp;") and DCDAUT&lt;&gt;''  ORDER BY DCDAUT",IF(AND(L44=TRUE,L45=TRUE),"SELECT DFHTRA, DCDMSG, DCDTYP, DCCADQ, DCCEMI,substr(DCDTAR, 1, 6)||'********'||substr(DCDTAR, 15, 2) AS TARJPRO, DMONT1,DCPAIS,     
DCDRES, DCDAUT FROM BODEGATMP/FTLF_NS where  substr(DCDTAR, 1, 6)in ("&amp;B11&amp;") and DCDAUT&lt;&gt;''  ORDER BY DCDAUT",IF(AND(L45=TRUE,L46=TRUE),"SELECT DFHTRA, DCDMSG, DCDTYP, DCCADQ, DCCEMI,substr(DCDTAR, 1, 6)||'********'||substr(DCDTAR, 15, 2) AS TARJPRO, DMONT1,DCPAIS,     
DCDRES, DCDAUT FROM BODEGATMP/FTLF_NS where DCCEMI like '%"&amp;D4&amp;"%' AND substr(DCDTAR, 1, 6)in ("&amp;B11&amp;") ORDER BY DCDAUT",IF(AND(L44=TRUE,L46=TRUE),"SELECT DFHTRA, DCDMSG, DCDTYP, DCCADQ, DCCEMI,substr(DCDTAR, 1, 6)||'********'||substr(DCDTAR, 15, 2) AS TARJPRO, DMONT1,DCPAIS,     
DCDRES, DCDAUT FROM BODEGATMP/FTLF_NS where DCCEMI like '%"&amp;D4&amp;"%' and DCDAUT&lt;&gt;''  ORDER BY DCDAUT",IF(L44=TRUE,"SELECT DFHTRA, DCDMSG, DCDTYP, DCCADQ, DCCEMI,substr(DCDTAR, 1, 6)||'********'||substr(DCDTAR, 15, 2) AS TARJPRO, DMONT1,DCPAIS,     
DCDRES, DCDAUT FROM BODEGATMP/FTLF_NS where DCDAUT&lt;&gt;''  ORDER BY DCDAUT",IF(L45=TRUE,"SELECT DFHTRA, DCDMSG, DCDTYP, DCCADQ, DCCEMI,substr(DCDTAR, 1, 6)||'********'||substr(DCDTAR, 15, 2) AS TARJPRO, DMONT1,DCPAIS,     
DCDRES, DCDAUT FROM BODEGATMP/FTLF_NS where  substr(DCDTAR, 1, 6)in ("&amp;B11&amp;") ORDER BY DCDAUT",IF(L46=TRUE,"SELECT DFHTRA, DCDMSG, DCDTYP, DCCADQ, DCCEMI,substr(DCDTAR, 1, 6)||'********'||substr(DCDTAR, 15, 2) AS TARJPRO, DMONT1,DCPAIS,     
DCDRES, DCDAUT FROM BODEGATMP/FTLF_NS where DCCEMI like '%"&amp;D4&amp;"%' ORDER BY DCDAUT","SELECT DFHTRA, DCDMSG, DCDTYP, DCCADQ, DCCEMI,substr(DCDTAR, 1, 6)||'********'||substr(DCDTAR, 15, 2) AS TARJPRO, DMONT1,DCPAIS,     
DCDRES, DCDAUT FROM BODEGATMP/FTLF_NS  ORDER BY DCDAUT"))))))),"")))</f>
        <v/>
      </c>
      <c r="I42" s="310"/>
    </row>
    <row r="43" spans="7:12" ht="15" customHeight="1">
      <c r="G43"/>
      <c r="H43"/>
      <c r="K43" s="111" t="s">
        <v>315</v>
      </c>
      <c r="L43" s="111"/>
    </row>
    <row r="44" spans="7:12" ht="78" customHeight="1">
      <c r="G44" s="39" t="s">
        <v>637</v>
      </c>
      <c r="H44" s="35" t="str">
        <f>IF(AND(L44=TRUE,L45=TRUE,L46=TRUE),"select DFHTRA, DCDMSG, DFIDID, DTPTRA, DCDEST, DTERMI, DCDRES,DREFER, DCAPFL,substr(dcdtar, 1, 6)||'********'||substr(dcdtar, 15, 2) AS TARJPRO,substr(DCDTAR, 1, 6), DMONT1,DCPAIS from BODEGATMP/FPTLFYS where DFIDID like '%"&amp;B4&amp;"%' AND substr(DCDTAR, 1, 6)in ("&amp;B11&amp;") and DREFER&lt;&gt;''  ORDER BY DREFER,DCAPFL",IF(AND(L44=TRUE,L45=TRUE),"select DFHTRA, DCDMSG, DFIDID, DTPTRA, DCDEST, DTERMI, DCDRES,DREFER, DCAPFL,substr(dcdtar, 1, 6)||'********'||substr(dcdtar, 15, 2) AS TARJPRO,substr(DCDTAR, 1, 6), DMONT1,DCPAIS from BODEGATMP/FPTLFYS where substr(DCDTAR, 1, 6)in ("&amp;B11&amp;") and DREFER&lt;&gt;''  ORDER BY DREFER,DCAPFL",IF(AND(L45=TRUE,L46=TRUE),"select DFHTRA, DCDMSG, DFIDID, DTPTRA, DCDEST, DTERMI, DCDRES,DREFER, DCAPFL,substr(dcdtar, 1, 6)||'********'||substr(dcdtar, 15, 2) AS TARJPRO,substr(DCDTAR, 1, 6), DMONT1,DCPAIS from BODEGATMP/FPTLFYS where DFIDID like '%"&amp;B4&amp;"%' AND substr(DCDTAR, 1, 6)in ("&amp;B11&amp;") ORDER BY DREFER,DCAPFL",IF(AND(L44=TRUE,L46=TRUE),"select DFHTRA, DCDMSG, DFIDID, DTPTRA, DCDEST, DTERMI, DCDRES,DREFER, DCAPFL,substr(dcdtar, 1, 6)||'********'||substr(dcdtar, 15, 2) AS TARJPRO,substr(DCDTAR, 1, 6), DMONT1,DCPAIS from BODEGATMP/FPTLFYS where DFIDID like '%"&amp;B4&amp;"%' and DREFER&lt;&gt;''  ORDER BY DREFER,DCAPFL",IF(L44=TRUE,"select DFHTRA, DCDMSG, DFIDID, DTPTRA, DCDEST, DTERMI, DCDRES,DREFER, DCAPFL,substr(dcdtar, 1, 6)||'********'||substr(dcdtar, 15, 2) AS TARJPRO,substr(DCDTAR, 1, 6), DMONT1,DCPAIS from BODEGATMP/FPTLFYS where  DREFER&lt;&gt;''  ORDER BY DREFER,DCAPFL",IF(L45=TRUE,"select DFHTRA, DCDMSG, DFIDID, DTPTRA, DCDEST, DTERMI, DCDRES,DREFER, DCAPFL,substr(dcdtar, 1, 6)||'********'||substr(dcdtar, 15, 2) AS TARJPRO,substr(DCDTAR, 1, 6), DMONT1,DCPAIS from BODEGATMP/FPTLFYS where  substr(DCDTAR, 1, 6)in ("&amp;B11&amp;")   ORDER BY DREFER,DCAPFL",IF(L46=TRUE,"select DFHTRA, DCDMSG, DFIDID, DTPTRA, DCDEST, DTERMI, DCDRES,DREFER, DCAPFL,substr(dcdtar, 1, 6)||'********'||substr(dcdtar, 15, 2) AS TARJPRO,substr(DCDTAR, 1, 6), DMONT1,DCPAIS from BODEGATMP/FPTLFYS where DFIDID like '%"&amp;B4&amp;"%'  ORDER BY DREFER,DCAPFL","select DFHTRA, DCDMSG, DFIDID, DTPTRA, DCDEST, DTERMI, DCDRES,DREFER, DCAPFL,substr(dcdtar, 1, 6)||'********'||substr(dcdtar, 15, 2) AS TARJPRO,substr(DCDTAR, 1, 6), DMONT1,DCPAIS from BODEGATMP/FPTLFYS ORDER BY DREFER,DCAPFL")))))))</f>
        <v>select DFHTRA, DCDMSG, DFIDID, DTPTRA, DCDEST, DTERMI, DCDRES,DREFER, DCAPFL,substr(dcdtar, 1, 6)||'********'||substr(dcdtar, 15, 2) AS TARJPRO,substr(DCDTAR, 1, 6), DMONT1,DCPAIS from BODEGATMP/FPTLFYS where substr(DCDTAR, 1, 6)in ('485091') and DREFER&lt;&gt;''  ORDER BY DREFER,DCAPFL</v>
      </c>
      <c r="I44" s="305" t="s">
        <v>146</v>
      </c>
      <c r="K44" s="34" t="s">
        <v>314</v>
      </c>
      <c r="L44" s="36" t="b">
        <v>1</v>
      </c>
    </row>
    <row r="45" spans="7:12" ht="75" customHeight="1">
      <c r="G45" s="39" t="s">
        <v>638</v>
      </c>
      <c r="H45" s="35" t="str">
        <f>IF(C4="00","",IF(AND(L44=TRUE,L45=TRUE,L46=TRUE),"select DFHTRA, DCDMSG, DFIDID, DTPTRA, DCDEST, DTERMI, DCDRES,DREFER, DCAPFL,substr(dcdtar, 1, 6)||'********'||substr(dcdtar, 15, 2) AS TARJPRO,substr(DCDTAR, 1, 6), DMONT1,DCPAIS from BODEGATMP/FPTLFYS where DFIDID like '%"&amp;C4&amp;"%' AND substr(DCDTAR, 1, 6)in ("&amp;B11&amp;") and DREFER&lt;&gt;''  ORDER BY DREFER,DCAPFL",IF(AND(L44=TRUE,L45=TRUE),"select DFHTRA, DCDMSG, DFIDID, DTPTRA, DCDEST, DTERMI, DCDRES,DREFER, DCAPFL,substr(dcdtar, 1, 6)||'********'||substr(dcdtar, 15, 2) AS TARJPRO,substr(DCDTAR, 1, 6), DMONT1,DCPAIS from BODEGATMP/FPTLFYS where substr(DCDTAR, 1, 6)in ("&amp;B11&amp;") and DREFER&lt;&gt;''  ORDER BY DREFER,DCAPFL",IF(AND(L45=TRUE,L46=TRUE),"select DFHTRA, DCDMSG, DFIDID, DTPTRA, DCDEST, DTERMI, DCDRES,DREFER, DCAPFL,substr(dcdtar, 1, 6)||'********'||substr(dcdtar, 15, 2) AS TARJPRO,substr(DCDTAR, 1, 6), DMONT1,DCPAIS from BODEGATMP/FPTLFYS where DFIDID like '%"&amp;C4&amp;"%' AND substr(DCDTAR, 1, 6)in ("&amp;B11&amp;") ORDER BY DREFER,DCAPFL",IF(AND(L44=TRUE,L46=TRUE),"select DFHTRA, DCDMSG, DFIDID, DTPTRA, DCDEST, DTERMI, DCDRES,DREFER, DCAPFL,substr(dcdtar, 1, 6)||'********'||substr(dcdtar, 15, 2) AS TARJPRO,substr(DCDTAR, 1, 6), DMONT1,DCPAIS from BODEGATMP/FPTLFYS where DFIDID like '%"&amp;C4&amp;"%' and DREFER&lt;&gt;''  ORDER BY DREFER,DCAPFL",IF(L44=TRUE,"select DFHTRA, DCDMSG, DFIDID, DTPTRA, DCDEST, DTERMI, DCDRES,DREFER, DCAPFL,substr(dcdtar, 1, 6)||'********'||substr(dcdtar, 15, 2) AS TARJPRO,substr(DCDTAR, 1, 6), DMONT1,DCPAIS from BODEGATMP/FPTLFYS where  DREFER&lt;&gt;''  ORDER BY DREFER,DCAPFL",IF(L45=TRUE,"select DFHTRA, DCDMSG, DFIDID, DTPTRA, DCDEST, DTERMI, DCDRES,DREFER, DCAPFL,substr(dcdtar, 1, 6)||'********'||substr(dcdtar, 15, 2) AS TARJPRO,substr(DCDTAR, 1, 6), DMONT1,DCPAIS from BODEGATMP/FPTLFYS where  substr(DCDTAR, 1, 6)in ("&amp;B11&amp;")   ORDER BY DREFER,DCAPFL",IF(L46=TRUE,"select DFHTRA, DCDMSG, DFIDID, DTPTRA, DCDEST, DTERMI, DCDRES,DREFER, DCAPFL,substr(dcdtar, 1, 6)||'********'||substr(dcdtar, 15, 2) AS TARJPRO,substr(DCDTAR, 1, 6), DMONT1,DCPAIS from BODEGATMP/FPTLFYS where DFIDID like '%"&amp;C4&amp;"%'  ORDER BY DREFER,DCAPFL","select DFHTRA, DCDMSG, DFIDID, DTPTRA, DCDEST, DTERMI, DCDRES,DREFER, DCAPFL,substr(dcdtar, 1, 6)||'********'||substr(dcdtar, 15, 2) AS TARJPRO,substr(DCDTAR, 1, 6), DMONT1,DCPAIS from BODEGATMP/FPTLFYS ORDER BY DREFER,DCAPFL"))))))))</f>
        <v/>
      </c>
      <c r="I45" s="305"/>
      <c r="K45" s="34" t="s">
        <v>312</v>
      </c>
      <c r="L45" s="36" t="b">
        <v>1</v>
      </c>
    </row>
    <row r="46" spans="7:12" ht="75" customHeight="1">
      <c r="G46" s="39" t="s">
        <v>639</v>
      </c>
      <c r="H46" s="35" t="str">
        <f>IF(D4="00","",IF(AND(L44=TRUE,L45=TRUE,L46=TRUE),"select DFHTRA, DCDMSG, DFIDID, DTPTRA, DCDEST, DTERMI, DCDRES,DREFER, DCAPFL,substr(dcdtar, 1, 6)||'********'||substr(dcdtar, 15, 2) AS TARJPRO,substr(DCDTAR, 1, 6), DMONT1,DCPAIS from BODEGATMP/FPTLFYS where DFIDID like '%"&amp;D4&amp;"%' AND substr(DCDTAR, 1, 6)in ("&amp;B11&amp;") and DREFER&lt;&gt;''  ORDER BY DREFER,DCAPFL",IF(AND(L44=TRUE,L45=TRUE),"select DFHTRA, DCDMSG, DFIDID, DTPTRA, DCDEST, DTERMI, DCDRES,DREFER, DCAPFL,substr(dcdtar, 1, 6)||'********'||substr(dcdtar, 15, 2) AS TARJPRO,substr(DCDTAR, 1, 6), DMONT1,DCPAIS from BODEGATMP/FPTLFYS where substr(DCDTAR, 1, 6)in ("&amp;B11&amp;") and DREFER&lt;&gt;''  ORDER BY DREFER,DCAPFL",IF(AND(L45=TRUE,L46=TRUE),"select DFHTRA, DCDMSG, DFIDID, DTPTRA, DCDEST, DTERMI, DCDRES,DREFER, DCAPFL,substr(dcdtar, 1, 6)||'********'||substr(dcdtar, 15, 2) AS TARJPRO,substr(DCDTAR, 1, 6), DMONT1,DCPAIS from BODEGATMP/FPTLFYS where DFIDID like '%"&amp;D4&amp;"%' AND substr(DCDTAR, 1, 6)in ("&amp;B11&amp;") ORDER BY DREFER,DCAPFL",IF(AND(L44=TRUE,L46=TRUE),"select DFHTRA, DCDMSG, DFIDID, DTPTRA, DCDEST, DTERMI, DCDRES,DREFER, DCAPFL,substr(dcdtar, 1, 6)||'********'||substr(dcdtar, 15, 2) AS TARJPRO,substr(DCDTAR, 1, 6), DMONT1,DCPAIS from BODEGATMP/FPTLFYS where DFIDID like '%"&amp;D4&amp;"%' and DREFER&lt;&gt;''  ORDER BY DREFER,DCAPFL",IF(L44=TRUE,"select DFHTRA, DCDMSG, DFIDID, DTPTRA, DCDEST, DTERMI, DCDRES,DREFER, DCAPFL,substr(dcdtar, 1, 6)||'********'||substr(dcdtar, 15, 2) AS TARJPRO,substr(DCDTAR, 1, 6), DMONT1,DCPAIS from BODEGATMP/FPTLFYS where  DREFER&lt;&gt;''  ORDER BY DREFER,DCAPFL",IF(L45=TRUE,"select DFHTRA, DCDMSG, DFIDID, DTPTRA, DCDEST, DTERMI, DCDRES,DREFER, DCAPFL,substr(dcdtar, 1, 6)||'********'||substr(dcdtar, 15, 2) AS TARJPRO,substr(DCDTAR, 1, 6), DMONT1,DCPAIS from BODEGATMP/FPTLFYS where  substr(DCDTAR, 1, 6)in ("&amp;B11&amp;")   ORDER BY DREFER,DCAPFL",IF(L46=TRUE,"select DFHTRA, DCDMSG, DFIDID, DTPTRA, DCDEST, DTERMI, DCDRES,DREFER, DCAPFL,substr(dcdtar, 1, 6)||'********'||substr(dcdtar, 15, 2) AS TARJPRO,substr(DCDTAR, 1, 6), DMONT1,DCPAIS from BODEGATMP/FPTLFYS where DFIDID like '%"&amp;D4&amp;"%'  ORDER BY DREFER,DCAPFL","select DFHTRA, DCDMSG, DFIDID, DTPTRA, DCDEST, DTERMI, DCDRES,DREFER, DCAPFL,substr(dcdtar, 1, 6)||'********'||substr(dcdtar, 15, 2) AS TARJPRO,substr(DCDTAR, 1, 6), DMONT1,DCPAIS from BODEGATMP/FPTLFYS ORDER BY DREFER,DCAPFL"))))))))</f>
        <v/>
      </c>
      <c r="I46" s="305"/>
      <c r="K46" s="34" t="s">
        <v>313</v>
      </c>
      <c r="L46" s="36" t="b">
        <v>0</v>
      </c>
    </row>
    <row r="48" spans="7:12" ht="14.5">
      <c r="G48" s="316" t="s">
        <v>142</v>
      </c>
      <c r="H48" s="35" t="str">
        <f>"SELECT * FROM SISTEMAS.PLF0100A WHERE MBANCO = "&amp;B4&amp;" AND MBINCO IN ("&amp;B11&amp;")"</f>
        <v>SELECT * FROM SISTEMAS.PLF0100A WHERE MBANCO = 46 AND MBINCO IN ('485091')</v>
      </c>
      <c r="I48" s="118" t="s">
        <v>416</v>
      </c>
      <c r="J48" s="5" t="s">
        <v>627</v>
      </c>
    </row>
    <row r="49" spans="5:10" ht="14.5">
      <c r="G49" s="316"/>
      <c r="H49" s="35" t="str">
        <f>"SELECT * FROM SISTEMAS.SWFTAB08 WHERE RCDCMP = '"&amp;B4&amp;"' AND RCDBIN IN ("&amp;B11&amp;")"</f>
        <v>SELECT * FROM SISTEMAS.SWFTAB08 WHERE RCDCMP = '46' AND RCDBIN IN ('485091')</v>
      </c>
      <c r="I49" s="118" t="s">
        <v>417</v>
      </c>
      <c r="J49" s="5" t="s">
        <v>628</v>
      </c>
    </row>
    <row r="50" spans="5:10" ht="14.5">
      <c r="G50" s="316"/>
      <c r="H50" s="35" t="str">
        <f>"SELECT * FROM SISTEMAS.REFTAB08 WHERE  RBINCO IN ("&amp;B11&amp;")"</f>
        <v>SELECT * FROM SISTEMAS.REFTAB08 WHERE  RBINCO IN ('485091')</v>
      </c>
      <c r="I50" s="118" t="s">
        <v>418</v>
      </c>
      <c r="J50" s="5" t="s">
        <v>629</v>
      </c>
    </row>
    <row r="51" spans="5:10" ht="14.5">
      <c r="G51" s="316"/>
      <c r="H51" s="35" t="str">
        <f>"SELECT * FROM SISTEMAS.SIF0100B WHERE DCDCMP = "&amp;B4&amp;" AND DCDBIN IN ("&amp;B11&amp;")"</f>
        <v>SELECT * FROM SISTEMAS.SIF0100B WHERE DCDCMP = 46 AND DCDBIN IN ('485091')</v>
      </c>
      <c r="I51" s="118" t="s">
        <v>419</v>
      </c>
      <c r="J51" s="5" t="s">
        <v>633</v>
      </c>
    </row>
    <row r="52" spans="5:10" ht="14.5">
      <c r="G52" s="316"/>
      <c r="H52" s="35" t="str">
        <f>"SELECT * FROM BASEDOS.BAFTAB40 WHERE RCDCMP = "&amp;B4&amp;" AND RCDBIN IN ("&amp;B11&amp;")"</f>
        <v>SELECT * FROM BASEDOS.BAFTAB40 WHERE RCDCMP = 46 AND RCDBIN IN ('485091')</v>
      </c>
      <c r="I52" s="118" t="s">
        <v>420</v>
      </c>
      <c r="J52" s="5" t="s">
        <v>630</v>
      </c>
    </row>
    <row r="53" spans="5:10" ht="14.5">
      <c r="G53" s="316"/>
      <c r="H53" s="35" t="str">
        <f>"SELECT * FROM SISTEMAS.REFTAB23 WHERE RCDBIN IN("&amp;B11&amp;")"</f>
        <v>SELECT * FROM SISTEMAS.REFTAB23 WHERE RCDBIN IN('485091')</v>
      </c>
      <c r="I53" s="118" t="s">
        <v>421</v>
      </c>
      <c r="J53" s="5" t="s">
        <v>631</v>
      </c>
    </row>
    <row r="54" spans="5:10" ht="14.5">
      <c r="G54" s="316"/>
      <c r="H54" s="35" t="str">
        <f>"SELECT * FROM BASEDOS/VDF0304E WHERE BINCOD IN ("&amp;B11&amp;")"</f>
        <v>SELECT * FROM BASEDOS/VDF0304E WHERE BINCOD IN ('485091')</v>
      </c>
      <c r="I54" s="118" t="s">
        <v>626</v>
      </c>
      <c r="J54" s="5" t="s">
        <v>632</v>
      </c>
    </row>
    <row r="56" spans="5:10" ht="201" customHeight="1">
      <c r="G56" s="90" t="s">
        <v>143</v>
      </c>
      <c r="H56" s="76" t="s">
        <v>651</v>
      </c>
      <c r="I56" s="119" t="s">
        <v>557</v>
      </c>
    </row>
    <row r="57" spans="5:10" ht="14.5">
      <c r="G57" s="126" t="s">
        <v>143</v>
      </c>
      <c r="H57" s="75" t="s">
        <v>566</v>
      </c>
      <c r="I57" s="118" t="s">
        <v>567</v>
      </c>
    </row>
    <row r="59" spans="5:10" ht="29">
      <c r="G59" s="307" t="s">
        <v>144</v>
      </c>
      <c r="H59" s="76" t="str">
        <f>"SELECT * FROM CANJE/CAFCNTRL  WHERE TANOCA =' "&amp;MID(B5,3,2)&amp;"' AND TMESCA =' "&amp;MID(B5,5,2)&amp;"' AND TDIACA = '"&amp;MID(B5,7,2)+1&amp;"' ORDER BY TFECHA desc"</f>
        <v>SELECT * FROM CANJE/CAFCNTRL  WHERE TANOCA =' 23' AND TMESCA =' 07' AND TDIACA = '13' ORDER BY TFECHA desc</v>
      </c>
      <c r="I59" s="306" t="s">
        <v>145</v>
      </c>
    </row>
    <row r="60" spans="5:10" ht="14.5">
      <c r="E60" s="15"/>
      <c r="G60" s="307"/>
      <c r="H60" s="76" t="str">
        <f>"UPDATE  BODEGATMP/CAFCNTRLYS  SET TANOCA="&amp;MID(B5,3,2)&amp;", TMESCA="&amp;MID(B5,5,2)&amp;", TDIACA="&amp;MID(B5,7,2)+1&amp;", TFECHA="&amp;MID(B5,3,7)+1&amp;""</f>
        <v>UPDATE  BODEGATMP/CAFCNTRLYS  SET TANOCA=23, TMESCA=07, TDIACA=13, TFECHA=230713</v>
      </c>
      <c r="I60" s="306"/>
    </row>
    <row r="61" spans="5:10" ht="14.5">
      <c r="G61" s="307"/>
      <c r="H61" s="76" t="s">
        <v>125</v>
      </c>
      <c r="I61" s="306"/>
    </row>
    <row r="63" spans="5:10" ht="43.5">
      <c r="G63" s="90" t="s">
        <v>149</v>
      </c>
      <c r="H63" s="76" t="str">
        <f>"CHGJOB DATE("&amp;TEXT(MID(B5,7,2)+1,"dd")&amp;MID(B5,5,2)&amp;MID(B5,3,2)&amp;")"</f>
        <v>CHGJOB DATE(130723)</v>
      </c>
      <c r="I63" s="119" t="s">
        <v>559</v>
      </c>
    </row>
    <row r="65" spans="5:10">
      <c r="G65" s="89" t="s">
        <v>150</v>
      </c>
      <c r="H65" s="120" t="s">
        <v>127</v>
      </c>
    </row>
    <row r="67" spans="5:10">
      <c r="G67" s="89" t="s">
        <v>128</v>
      </c>
      <c r="H67" s="28" t="s">
        <v>128</v>
      </c>
    </row>
    <row r="69" spans="5:10" ht="29">
      <c r="G69" s="89" t="s">
        <v>151</v>
      </c>
      <c r="H69" s="102" t="str">
        <f>"CALL PGM(ELECTRON/CEC1840) PARM('"&amp;MID(B5,3,2)&amp;MID(B5,5,2)&amp;TEXT(MID(B5,7,2)+1,"dd")&amp;"' 'N' 'N' '"&amp;REPT(0,4-LEN(C4))&amp;C4&amp;"' '"&amp;REPT(0,4-LEN(B4))&amp;B4&amp;"' '"&amp;REPT(0,4-LEN(D4))&amp;D4&amp;"' '"&amp;REPT(0,4-LEN(C4))&amp;C4&amp;"' '"&amp;REPT(0,4-LEN(B4))&amp;B4&amp;"' '"&amp;REPT(0,4-LEN(D4))&amp;D4&amp;"')"</f>
        <v>CALL PGM(ELECTRON/CEC1840) PARM('230713' 'N' 'N' '0000' '0046' '0000' '0000' '0046' '0000')</v>
      </c>
      <c r="I69" s="119" t="s">
        <v>568</v>
      </c>
    </row>
    <row r="70" spans="5:10">
      <c r="F70" t="s">
        <v>860</v>
      </c>
    </row>
    <row r="71" spans="5:10" ht="58">
      <c r="E71" s="85"/>
      <c r="G71" s="114" t="s">
        <v>560</v>
      </c>
      <c r="H71" s="28" t="str">
        <f>"UPDATE TD"&amp;REPT(0,4-LEN(B4))&amp;B4&amp;"/EXTRACTO                                 
SET EXTRACTO =
 SUBSTR(EXTRACTO, 1, 5)||"&amp;MID(B5,3,2)&amp;MID(B5,5,2)&amp;TEXT(MID(B5,7,2)+1,"dd")&amp;"||SUBSTR(EXTRACTO, 12, 41) 
   WHERE SUBSTR(EXTRACTO, 1, 1)='/'"</f>
        <v>UPDATE TD0046/EXTRACTO                                 
SET EXTRACTO =
 SUBSTR(EXTRACTO, 1, 5)||230713||SUBSTR(EXTRACTO, 12, 41) 
   WHERE SUBSTR(EXTRACTO, 1, 1)='/'</v>
      </c>
    </row>
    <row r="72" spans="5:10">
      <c r="E72" s="85"/>
      <c r="G72" s="39"/>
      <c r="H72" s="28" t="str">
        <f>IF(C4="00","","UPDATE TD"&amp;REPT(0,4-LEN(C4))&amp;C4&amp;"/EXTRACTO                                 
SET EXTRACTO =
 SUBSTR(EXTRACTO, 1, 5)||"&amp;MID(B5,3,2)&amp;MID(B5,5,2)&amp;TEXT(MID(B5,7,2)+1,"dd")&amp;"||SUBSTR(EXTRACTO, 12, 41) 
   WHERE SUBSTR(EXTRACTO, 1, 1)='/'")</f>
        <v/>
      </c>
    </row>
    <row r="73" spans="5:10">
      <c r="E73" s="85"/>
      <c r="G73" s="39"/>
      <c r="H73" s="28" t="str">
        <f>IF(D4="00","","UPDATE TD"&amp;REPT(0,4-LEN(D4))&amp;D4&amp;"/EXTRACTO                                 
SET EXTRACTO =
 SUBSTR(EXTRACTO, 1, 5)||"&amp;MID(B5,3,2)&amp;MID(B5,5,2)&amp;TEXT(MID(B5,7,2)+1,"dd")&amp;"||SUBSTR(EXTRACTO, 12, 41) 
   WHERE SUBSTR(EXTRACTO, 1, 1)='/'")</f>
        <v/>
      </c>
      <c r="J73" s="24"/>
    </row>
    <row r="74" spans="5:10" ht="14.5">
      <c r="E74" s="85"/>
      <c r="G74"/>
      <c r="J74" s="24"/>
    </row>
    <row r="75" spans="5:10">
      <c r="G75" s="38" t="s">
        <v>640</v>
      </c>
      <c r="H75" s="234" t="s">
        <v>652</v>
      </c>
    </row>
    <row r="76" spans="5:10" ht="15" customHeight="1">
      <c r="G76" s="307" t="s">
        <v>581</v>
      </c>
      <c r="H76" s="28" t="str">
        <f>IF(B12=TRUE,IF(H75="FIID1","WRKF FILE(TD"&amp;REPT(0,4-LEN(B4))&amp;B4&amp;"/EXTRACTO)",IF(H75="FIID2","WRKF FILE(TD"&amp;REPT(0,4-LEN(C4))&amp;C4&amp;"/EXTRACTO)",IF(H75="FIID3","WRKF FILE(TD"&amp;REPT(0,4-LEN(D4))&amp;D4&amp;"/EXTRACTO)",IF(H75="","","")))))</f>
        <v>WRKF FILE(TD0046/EXTRACTO)</v>
      </c>
      <c r="I76" s="4" t="s">
        <v>582</v>
      </c>
    </row>
    <row r="77" spans="5:10" ht="15" customHeight="1">
      <c r="G77" s="307"/>
      <c r="H77" s="28" t="str">
        <f>IF(B12=TRUE,IF(H75="FIID1","WRKF FILE(TD"&amp;REPT(0,4-LEN(B4))&amp;B4&amp;"/CANJEETX)",IF(H75="FIID2","WRKF FILE(TD"&amp;REPT(0,4-LEN(C4))&amp;C4&amp;"/CANJEETX)",IF(H75="FIID3","WRKF FILE(TD"&amp;REPT(0,4-LEN(D4))&amp;D4&amp;"/CANJEETX)",IF(H75="","","")))),"")</f>
        <v>WRKF FILE(TD0046/CANJEETX)</v>
      </c>
      <c r="I77" s="4" t="s">
        <v>130</v>
      </c>
    </row>
    <row r="78" spans="5:10" ht="15" customHeight="1">
      <c r="G78" s="307"/>
      <c r="H78" s="28" t="str">
        <f>IF(B12=TRUE,IF(H75="FIID1","WRKF FILE(TD"&amp;REPT(0,4-LEN(B4))&amp;B4&amp;"/DEPOSTX)",IF(H75="FIID2","WRKF FILE(TD"&amp;REPT(0,4-LEN(C4))&amp;C4&amp;"/DEPOSTX)",IF(H75="FIID3","WRKF FILE(TD"&amp;REPT(0,4-LEN(D4))&amp;D4&amp;"/DEPOSTX)",IF(H75="","","")))),"")</f>
        <v>WRKF FILE(TD0046/DEPOSTX)</v>
      </c>
      <c r="I78" s="4" t="s">
        <v>131</v>
      </c>
    </row>
    <row r="79" spans="5:10" ht="15" customHeight="1">
      <c r="G79" s="307"/>
      <c r="H79" s="28" t="str">
        <f>IF(B15=TRUE,IF(H75="FIID1","WRKF FILE(TD"&amp;REPT(0,4-LEN(B4))&amp;B4&amp;"/DEPOSADTX)",IF(H75="FIID2","WRKF FILE(TD"&amp;REPT(0,4-LEN(C4))&amp;C4&amp;"/DEPOSADTX)",IF(H75="FIID3","WRKF FILE(TD"&amp;REPT(0,4-LEN(D4))&amp;D4&amp;"/DEPOSADTX)"))),"")</f>
        <v/>
      </c>
      <c r="I79" s="4" t="s">
        <v>509</v>
      </c>
    </row>
    <row r="80" spans="5:10" ht="15" customHeight="1">
      <c r="G80"/>
      <c r="I80" s="2"/>
    </row>
    <row r="81" spans="7:10">
      <c r="G81" s="38" t="s">
        <v>640</v>
      </c>
      <c r="H81" s="234" t="s">
        <v>652</v>
      </c>
      <c r="J81" s="3"/>
    </row>
    <row r="82" spans="7:10" ht="15" customHeight="1">
      <c r="G82" s="317" t="s">
        <v>153</v>
      </c>
      <c r="H82" s="28" t="str">
        <f>IF(B12=TRUE,IF(H81="FIID1","GASFTPSEND DTPPRO('EXTRA_TEST') DCDCMP('"&amp;REPT(0,4-LEN(B4))&amp;B4&amp;"')",IF(H81="FIID2","GASFTPSEND DTPPRO('EXTRA_TEST') DCDCMP('"&amp;REPT(0,4-LEN(C4))&amp;C4&amp;"')",IF(H81="FIID3","GASFTPSEND DTPPRO('EXTRA_TEST') DCDCMP('"&amp;REPT(0,4-LEN(D4))&amp;D4&amp;"')",IF(H75="","","")))))</f>
        <v>GASFTPSEND DTPPRO('EXTRA_TEST') DCDCMP('0046')</v>
      </c>
      <c r="I82" s="4" t="s">
        <v>582</v>
      </c>
    </row>
    <row r="83" spans="7:10" ht="15" customHeight="1">
      <c r="G83" s="316"/>
      <c r="H83" s="28" t="str">
        <f>IF(B12=TRUE,IF(H81="FIID1","GASFTPSEND DTPPRO('CELEC_TEST') DCDCMP('"&amp;REPT(0,4-LEN(B4))&amp;B4&amp;"')",IF(H81="FIID2","GASFTPSEND DTPPRO('CELEC_TEST') DCDCMP('"&amp;REPT(0,4-LEN(C4))&amp;C4&amp;"')",IF(H81="FIID3","GASFTPSEND DTPPRO('CELEC_TEST') DCDCMP('"&amp;REPT(0,4-LEN(D4))&amp;D4&amp;"')",IF(H75="","","")))))</f>
        <v>GASFTPSEND DTPPRO('CELEC_TEST') DCDCMP('0046')</v>
      </c>
      <c r="I83" s="4" t="s">
        <v>130</v>
      </c>
    </row>
    <row r="84" spans="7:10" ht="15" customHeight="1">
      <c r="G84" s="316"/>
      <c r="H84" s="28" t="str">
        <f>IF(B12=TRUE,IF(H81="FIID1","GASFTPSEND DTPPRO('DELEC_TEST') DCDCMP('"&amp;REPT(0,4-LEN(B4))&amp;B4&amp;"')",IF(H81="FIID2","GASFTPSEND DTPPRO('DELEC_TEST') DCDCMP('"&amp;REPT(0,4-LEN(C4))&amp;C4&amp;"')",IF(H81="FIID3","GASFTPSEND DTPPRO('DELEC_TEST') DCDCMP('"&amp;REPT(0,4-LEN(D4))&amp;D4&amp;"')",IF(H75="","","")))))</f>
        <v>GASFTPSEND DTPPRO('DELEC_TEST') DCDCMP('0046')</v>
      </c>
      <c r="I84" s="4" t="s">
        <v>131</v>
      </c>
    </row>
    <row r="85" spans="7:10" ht="15.75" customHeight="1">
      <c r="G85" s="316"/>
      <c r="H85" s="28" t="str">
        <f>IF(B15=TRUE,IF(H81="FIID1","GASFTPSEND DTPPRO('DEADE_TEST') DCDCMP('"&amp;REPT(0,4-LEN(B4))&amp;B4&amp;"')",IF(H81="FIID2","GASFTPSEND DTPPRO('DEADE_TEST') DCDCMP('"&amp;REPT(0,4-LEN(C4))&amp;C4&amp;"')",IF(H81="FIID3","GASFTPSEND DTPPRO('DEADE_TEST') DCDCMP('"&amp;REPT(0,4-LEN(D4))&amp;D4&amp;"')"))),"")</f>
        <v/>
      </c>
      <c r="I85" s="4" t="s">
        <v>509</v>
      </c>
      <c r="J85" s="3"/>
    </row>
    <row r="86" spans="7:10" ht="15.75" customHeight="1">
      <c r="G86" s="230"/>
      <c r="H86" s="230"/>
      <c r="I86" s="230"/>
      <c r="J86" s="3"/>
    </row>
    <row r="87" spans="7:10" ht="15.75" customHeight="1">
      <c r="G87" s="316" t="s">
        <v>592</v>
      </c>
      <c r="H87" s="28" t="s">
        <v>544</v>
      </c>
      <c r="I87" s="4" t="s">
        <v>582</v>
      </c>
      <c r="J87" s="3"/>
    </row>
    <row r="88" spans="7:10" ht="15.75" customHeight="1">
      <c r="G88" s="316"/>
      <c r="H88" s="28" t="s">
        <v>545</v>
      </c>
      <c r="I88" s="4" t="s">
        <v>130</v>
      </c>
      <c r="J88" s="3"/>
    </row>
    <row r="89" spans="7:10" ht="15.75" customHeight="1">
      <c r="G89" s="316"/>
      <c r="H89" s="28" t="s">
        <v>547</v>
      </c>
      <c r="I89" s="4" t="s">
        <v>131</v>
      </c>
      <c r="J89" s="3"/>
    </row>
    <row r="90" spans="7:10" ht="15.75" customHeight="1">
      <c r="G90" s="316"/>
      <c r="H90" s="28" t="s">
        <v>546</v>
      </c>
      <c r="I90" s="4" t="s">
        <v>509</v>
      </c>
      <c r="J90" s="3"/>
    </row>
    <row r="91" spans="7:10" ht="15.75" customHeight="1">
      <c r="G91"/>
      <c r="J91" s="3"/>
    </row>
    <row r="92" spans="7:10" ht="15" customHeight="1">
      <c r="G92" s="311" t="s">
        <v>594</v>
      </c>
      <c r="H92" s="28" t="str">
        <f>IF(AND(B12=TRUE,E12="Encriptados"),"CPYF FROMFILE(TD00"&amp;$B$4&amp;"/EXTRACTO) TOFILE(TD0008/EXTRACTO) MBROPT(*REPLACE)","")</f>
        <v>CPYF FROMFILE(TD0046/EXTRACTO) TOFILE(TD0008/EXTRACTO) MBROPT(*REPLACE)</v>
      </c>
      <c r="I92" s="4" t="s">
        <v>582</v>
      </c>
    </row>
    <row r="93" spans="7:10" ht="15" customHeight="1">
      <c r="G93" s="312"/>
      <c r="H93" s="28" t="str">
        <f>IF(AND(B13=TRUE,E13="Encriptados"),"CPYF FROMFILE(TD00"&amp;$B$4&amp;"/CANJEETX) TOFILE(TD0008/CANJEETX) MBROPT(*REPLACE)","")</f>
        <v>CPYF FROMFILE(TD0046/CANJEETX) TOFILE(TD0008/CANJEETX) MBROPT(*REPLACE)</v>
      </c>
      <c r="I93" s="4" t="s">
        <v>130</v>
      </c>
    </row>
    <row r="94" spans="7:10" ht="15" customHeight="1">
      <c r="G94" s="312"/>
      <c r="H94" s="28" t="str">
        <f>IF(AND(B14=TRUE,E14="Encriptados"),"CPYF FROMFILE(TD00"&amp;$B$4&amp;"/DEPOSTX) TOFILE(TD0008/DEPOSTX) MBROPT(*REPLACE)","")</f>
        <v>CPYF FROMFILE(TD0046/DEPOSTX) TOFILE(TD0008/DEPOSTX) MBROPT(*REPLACE)</v>
      </c>
      <c r="I94" s="4" t="s">
        <v>131</v>
      </c>
    </row>
    <row r="95" spans="7:10" ht="15" customHeight="1">
      <c r="G95" s="312"/>
      <c r="H95" s="28" t="str">
        <f>"CPYF FROMFILE(TD00"&amp;$B$4&amp;"/CANJEITX) TOFILE(TD0008/CANJEITX) MBROPT(*REPLACE) FMTOPT(*NOCHK)"</f>
        <v>CPYF FROMFILE(TD0046/CANJEITX) TOFILE(TD0008/CANJEITX) MBROPT(*REPLACE) FMTOPT(*NOCHK)</v>
      </c>
      <c r="I95" s="4" t="s">
        <v>509</v>
      </c>
    </row>
    <row r="97" spans="7:9" ht="14.5">
      <c r="G97" s="311" t="s">
        <v>593</v>
      </c>
      <c r="H97" s="28" t="s">
        <v>548</v>
      </c>
      <c r="I97" s="4" t="s">
        <v>582</v>
      </c>
    </row>
    <row r="98" spans="7:9" ht="14.5">
      <c r="G98" s="312"/>
      <c r="H98" s="28" t="s">
        <v>549</v>
      </c>
      <c r="I98" s="4" t="s">
        <v>130</v>
      </c>
    </row>
    <row r="99" spans="7:9" ht="14.5">
      <c r="G99" s="312"/>
      <c r="H99" s="28" t="s">
        <v>550</v>
      </c>
      <c r="I99" s="4" t="s">
        <v>131</v>
      </c>
    </row>
    <row r="100" spans="7:9" ht="14.5">
      <c r="G100" s="312"/>
      <c r="H100" s="28" t="s">
        <v>551</v>
      </c>
      <c r="I100" s="4" t="s">
        <v>509</v>
      </c>
    </row>
    <row r="101" spans="7:9">
      <c r="H101" s="84"/>
    </row>
  </sheetData>
  <mergeCells count="37">
    <mergeCell ref="G97:G100"/>
    <mergeCell ref="H23:H31"/>
    <mergeCell ref="G23:G31"/>
    <mergeCell ref="G7:G17"/>
    <mergeCell ref="G33:G36"/>
    <mergeCell ref="G48:G54"/>
    <mergeCell ref="G82:G85"/>
    <mergeCell ref="G87:G90"/>
    <mergeCell ref="G92:G95"/>
    <mergeCell ref="H7:H10"/>
    <mergeCell ref="H11:H13"/>
    <mergeCell ref="H14:H17"/>
    <mergeCell ref="I23:L23"/>
    <mergeCell ref="I44:I46"/>
    <mergeCell ref="I59:I61"/>
    <mergeCell ref="G76:G79"/>
    <mergeCell ref="G59:G61"/>
    <mergeCell ref="I29:L29"/>
    <mergeCell ref="I30:L30"/>
    <mergeCell ref="I31:L31"/>
    <mergeCell ref="I24:L24"/>
    <mergeCell ref="I25:L25"/>
    <mergeCell ref="I26:L26"/>
    <mergeCell ref="I27:L27"/>
    <mergeCell ref="I28:L28"/>
    <mergeCell ref="I40:I42"/>
    <mergeCell ref="B1:D1"/>
    <mergeCell ref="B11:D11"/>
    <mergeCell ref="B19:D19"/>
    <mergeCell ref="B12:D12"/>
    <mergeCell ref="B13:D13"/>
    <mergeCell ref="B14:D14"/>
    <mergeCell ref="B15:D15"/>
    <mergeCell ref="B16:D16"/>
    <mergeCell ref="B17:D17"/>
    <mergeCell ref="B18:D18"/>
    <mergeCell ref="B5:D5"/>
  </mergeCells>
  <conditionalFormatting sqref="B6:D10">
    <cfRule type="cellIs" dxfId="4" priority="1" operator="greaterThan">
      <formula>0</formula>
    </cfRule>
    <cfRule type="cellIs" dxfId="3" priority="2" operator="lessThan">
      <formula>1</formula>
    </cfRule>
  </conditionalFormatting>
  <dataValidations count="1">
    <dataValidation type="list" allowBlank="1" showInputMessage="1" showErrorMessage="1" sqref="B2:D2" xr:uid="{B975C487-5F59-4412-AAA7-6247BFB538FB}">
      <formula1>NOMBRE_BANCO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9" r:id="rId4" name="Check Box 31">
              <controlPr defaultSize="0" autoFill="0" autoLine="0" autoPict="0">
                <anchor moveWithCells="1">
                  <from>
                    <xdr:col>11</xdr:col>
                    <xdr:colOff>279400</xdr:colOff>
                    <xdr:row>43</xdr:row>
                    <xdr:rowOff>374650</xdr:rowOff>
                  </from>
                  <to>
                    <xdr:col>11</xdr:col>
                    <xdr:colOff>514350</xdr:colOff>
                    <xdr:row>43</xdr:row>
                    <xdr:rowOff>565150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5" name="Check Box 32">
              <controlPr defaultSize="0" autoFill="0" autoLine="0" autoPict="0">
                <anchor moveWithCells="1">
                  <from>
                    <xdr:col>11</xdr:col>
                    <xdr:colOff>285750</xdr:colOff>
                    <xdr:row>44</xdr:row>
                    <xdr:rowOff>361950</xdr:rowOff>
                  </from>
                  <to>
                    <xdr:col>11</xdr:col>
                    <xdr:colOff>527050</xdr:colOff>
                    <xdr:row>44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6" name="Check Box 33">
              <controlPr defaultSize="0" autoFill="0" autoLine="0" autoPict="0">
                <anchor moveWithCells="1">
                  <from>
                    <xdr:col>11</xdr:col>
                    <xdr:colOff>285750</xdr:colOff>
                    <xdr:row>45</xdr:row>
                    <xdr:rowOff>361950</xdr:rowOff>
                  </from>
                  <to>
                    <xdr:col>11</xdr:col>
                    <xdr:colOff>527050</xdr:colOff>
                    <xdr:row>45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7" name="Check Box 40">
              <controlPr defaultSize="0" autoFill="0" autoLine="0" autoPict="0">
                <anchor moveWithCells="1">
                  <from>
                    <xdr:col>2</xdr:col>
                    <xdr:colOff>546100</xdr:colOff>
                    <xdr:row>10</xdr:row>
                    <xdr:rowOff>488950</xdr:rowOff>
                  </from>
                  <to>
                    <xdr:col>3</xdr:col>
                    <xdr:colOff>266700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8" name="Check Box 41">
              <controlPr defaultSize="0" autoFill="0" autoLine="0" autoPict="0">
                <anchor moveWithCells="1">
                  <from>
                    <xdr:col>2</xdr:col>
                    <xdr:colOff>546100</xdr:colOff>
                    <xdr:row>11</xdr:row>
                    <xdr:rowOff>165100</xdr:rowOff>
                  </from>
                  <to>
                    <xdr:col>3</xdr:col>
                    <xdr:colOff>266700</xdr:colOff>
                    <xdr:row>13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9" name="Check Box 42">
              <controlPr defaultSize="0" autoFill="0" autoLine="0" autoPict="0">
                <anchor moveWithCells="1">
                  <from>
                    <xdr:col>2</xdr:col>
                    <xdr:colOff>546100</xdr:colOff>
                    <xdr:row>12</xdr:row>
                    <xdr:rowOff>165100</xdr:rowOff>
                  </from>
                  <to>
                    <xdr:col>3</xdr:col>
                    <xdr:colOff>266700</xdr:colOff>
                    <xdr:row>14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10" name="Check Box 47">
              <controlPr defaultSize="0" autoFill="0" autoLine="0" autoPict="0">
                <anchor moveWithCells="1">
                  <from>
                    <xdr:col>2</xdr:col>
                    <xdr:colOff>533400</xdr:colOff>
                    <xdr:row>15</xdr:row>
                    <xdr:rowOff>184150</xdr:rowOff>
                  </from>
                  <to>
                    <xdr:col>3</xdr:col>
                    <xdr:colOff>552450</xdr:colOff>
                    <xdr:row>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11" name="Check Box 48">
              <controlPr defaultSize="0" autoFill="0" autoLine="0" autoPict="0">
                <anchor moveWithCells="1">
                  <from>
                    <xdr:col>2</xdr:col>
                    <xdr:colOff>527050</xdr:colOff>
                    <xdr:row>16</xdr:row>
                    <xdr:rowOff>171450</xdr:rowOff>
                  </from>
                  <to>
                    <xdr:col>3</xdr:col>
                    <xdr:colOff>546100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12" name="Check Box 59">
              <controlPr defaultSize="0" autoFill="0" autoLine="0" autoPict="0">
                <anchor moveWithCells="1">
                  <from>
                    <xdr:col>2</xdr:col>
                    <xdr:colOff>546100</xdr:colOff>
                    <xdr:row>14</xdr:row>
                    <xdr:rowOff>12700</xdr:rowOff>
                  </from>
                  <to>
                    <xdr:col>3</xdr:col>
                    <xdr:colOff>565150</xdr:colOff>
                    <xdr:row>15</xdr:row>
                    <xdr:rowOff>31750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A454D97-397D-4FE7-8140-DB1732D78DF4}">
          <x14:formula1>
            <xm:f>'Bancos y listas'!$Q$2:$Q$4</xm:f>
          </x14:formula1>
          <xm:sqref>H81 H75</xm:sqref>
        </x14:dataValidation>
        <x14:dataValidation type="list" allowBlank="1" showInputMessage="1" showErrorMessage="1" xr:uid="{4B987FF9-375B-4B66-B025-6E6B6D5F99DA}">
          <x14:formula1>
            <xm:f>'Bancos y listas'!$I$2:$I$3</xm:f>
          </x14:formula1>
          <xm:sqref>E12:E14</xm:sqref>
        </x14:dataValidation>
        <x14:dataValidation type="list" allowBlank="1" showInputMessage="1" showErrorMessage="1" xr:uid="{7F26259C-D732-4D95-8A49-BE4064CC2B55}">
          <x14:formula1>
            <xm:f>'Bancos y listas'!$K$2:$K$4</xm:f>
          </x14:formula1>
          <xm:sqref>B19:B22 C20:D22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6EF05-C693-4C7A-B461-D804AEB74EA8}">
  <sheetPr codeName="Hoja7">
    <tabColor theme="7" tint="0.39997558519241921"/>
    <pageSetUpPr autoPageBreaks="0"/>
  </sheetPr>
  <dimension ref="A1:U119"/>
  <sheetViews>
    <sheetView tabSelected="1" topLeftCell="G95" zoomScaleNormal="100" workbookViewId="0">
      <selection activeCell="H105" sqref="H105"/>
    </sheetView>
  </sheetViews>
  <sheetFormatPr baseColWidth="10" defaultRowHeight="14.5"/>
  <cols>
    <col min="1" max="1" width="24.1796875" bestFit="1" customWidth="1"/>
    <col min="2" max="2" width="14.81640625" bestFit="1" customWidth="1"/>
    <col min="3" max="4" width="9.81640625" bestFit="1" customWidth="1"/>
    <col min="5" max="5" width="12.453125" style="24" bestFit="1" customWidth="1"/>
    <col min="6" max="6" width="7.7265625" customWidth="1"/>
    <col min="7" max="7" width="48.7265625" bestFit="1" customWidth="1"/>
    <col min="8" max="8" width="84.26953125" style="282" bestFit="1" customWidth="1"/>
    <col min="9" max="9" width="45.453125" bestFit="1" customWidth="1"/>
    <col min="10" max="10" width="33.26953125" bestFit="1" customWidth="1"/>
    <col min="11" max="11" width="20" bestFit="1" customWidth="1"/>
  </cols>
  <sheetData>
    <row r="1" spans="1:11" ht="15.5">
      <c r="A1" s="236" t="s">
        <v>136</v>
      </c>
      <c r="B1" s="295" t="s">
        <v>135</v>
      </c>
      <c r="C1" s="295"/>
      <c r="D1" s="295"/>
      <c r="E1" s="236" t="s">
        <v>134</v>
      </c>
      <c r="F1" s="2"/>
      <c r="G1" s="37"/>
      <c r="H1" s="281"/>
    </row>
    <row r="2" spans="1:11">
      <c r="A2" s="236" t="s">
        <v>103</v>
      </c>
      <c r="B2" s="34" t="s">
        <v>12</v>
      </c>
      <c r="C2" s="34" t="s">
        <v>555</v>
      </c>
      <c r="D2" s="34" t="s">
        <v>555</v>
      </c>
      <c r="E2" s="34"/>
    </row>
    <row r="3" spans="1:11">
      <c r="A3" s="236" t="s">
        <v>104</v>
      </c>
      <c r="B3" s="235">
        <f>VLOOKUP(B2,'Bancos y listas'!B:C,2,FALSE)</f>
        <v>8</v>
      </c>
      <c r="C3" s="235">
        <f>VLOOKUP(C2,'Bancos y listas'!B:C,2,FALSE)</f>
        <v>0</v>
      </c>
      <c r="D3" s="235">
        <f>VLOOKUP(D2,'Bancos y listas'!B:C,2,FALSE)</f>
        <v>0</v>
      </c>
      <c r="E3" s="34"/>
    </row>
    <row r="4" spans="1:11" ht="15.5">
      <c r="A4" s="236" t="s">
        <v>104</v>
      </c>
      <c r="B4" s="235" t="str">
        <f>REPT("0",2-LEN(B3))&amp;VLOOKUP(B2,'Bancos y listas'!B:C,2,FALSE)</f>
        <v>08</v>
      </c>
      <c r="C4" s="235" t="str">
        <f>REPT("0",2-LEN(C3))&amp;VLOOKUP(C2,'Bancos y listas'!B:C,2,FALSE)</f>
        <v>00</v>
      </c>
      <c r="D4" s="235" t="str">
        <f>REPT("0",2-LEN(D3))&amp;VLOOKUP(D2,'Bancos y listas'!B:C,2,FALSE)</f>
        <v>00</v>
      </c>
      <c r="E4" s="34"/>
      <c r="F4" s="3"/>
      <c r="G4" s="37"/>
      <c r="H4" s="283"/>
    </row>
    <row r="5" spans="1:11" ht="15" customHeight="1">
      <c r="A5" s="236" t="s">
        <v>108</v>
      </c>
      <c r="B5" s="301">
        <v>20230609</v>
      </c>
      <c r="C5" s="302"/>
      <c r="D5" s="303"/>
      <c r="E5" s="110" t="s">
        <v>126</v>
      </c>
      <c r="F5" s="3"/>
      <c r="G5" s="37"/>
      <c r="H5" s="283"/>
    </row>
    <row r="6" spans="1:11" ht="15" customHeight="1">
      <c r="A6" s="237" t="s">
        <v>118</v>
      </c>
      <c r="B6" s="5">
        <v>454896</v>
      </c>
      <c r="C6" s="5"/>
      <c r="D6" s="5"/>
      <c r="E6" s="229"/>
      <c r="F6" s="3"/>
      <c r="G6" s="37"/>
      <c r="H6" s="283"/>
    </row>
    <row r="7" spans="1:11" ht="15" customHeight="1">
      <c r="A7" s="237" t="s">
        <v>117</v>
      </c>
      <c r="B7" s="5">
        <v>454831</v>
      </c>
      <c r="C7" s="5"/>
      <c r="D7" s="5"/>
      <c r="E7" s="229"/>
      <c r="F7" s="3"/>
      <c r="G7" s="311" t="s">
        <v>137</v>
      </c>
      <c r="H7" s="320" t="str">
        <f>"CALL PGM(ELECTRON/CEC1835) PARM('B' '00"&amp;B4&amp;"')"</f>
        <v>CALL PGM(ELECTRON/CEC1835) PARM('B' '0008')</v>
      </c>
      <c r="I7" s="273" t="s">
        <v>110</v>
      </c>
      <c r="J7" s="17" t="s">
        <v>598</v>
      </c>
      <c r="K7" s="141" t="s">
        <v>146</v>
      </c>
    </row>
    <row r="8" spans="1:11" ht="15.75" customHeight="1">
      <c r="A8" s="237" t="s">
        <v>119</v>
      </c>
      <c r="B8" s="5"/>
      <c r="C8" s="246"/>
      <c r="D8" s="246"/>
      <c r="E8" s="229"/>
      <c r="F8" s="3"/>
      <c r="G8" s="312"/>
      <c r="H8" s="321"/>
      <c r="I8" s="273" t="s">
        <v>321</v>
      </c>
      <c r="J8" s="17" t="s">
        <v>599</v>
      </c>
      <c r="K8" s="95" t="s">
        <v>148</v>
      </c>
    </row>
    <row r="9" spans="1:11" ht="15.75" customHeight="1">
      <c r="A9" s="237" t="s">
        <v>120</v>
      </c>
      <c r="B9" s="5"/>
      <c r="C9" s="246"/>
      <c r="D9" s="246"/>
      <c r="E9" s="229"/>
      <c r="F9" s="3"/>
      <c r="G9" s="312"/>
      <c r="H9" s="321"/>
      <c r="I9" s="273" t="s">
        <v>111</v>
      </c>
      <c r="J9" s="17" t="s">
        <v>600</v>
      </c>
      <c r="K9" s="96" t="s">
        <v>147</v>
      </c>
    </row>
    <row r="10" spans="1:11" ht="15.75" customHeight="1">
      <c r="A10" s="237" t="s">
        <v>121</v>
      </c>
      <c r="B10" s="5"/>
      <c r="C10" s="246"/>
      <c r="D10" s="246"/>
      <c r="E10" s="229"/>
      <c r="F10" s="3"/>
      <c r="G10" s="312"/>
      <c r="H10" s="322"/>
      <c r="I10" s="273" t="s">
        <v>112</v>
      </c>
      <c r="J10" s="17" t="s">
        <v>601</v>
      </c>
      <c r="K10" s="143" t="s">
        <v>556</v>
      </c>
    </row>
    <row r="11" spans="1:11">
      <c r="A11" s="238" t="s">
        <v>122</v>
      </c>
      <c r="B11" s="296" t="str">
        <f>IF(B7="","'"&amp;B6&amp;"'",IF(B8="","'"&amp;B6&amp;"',"&amp;"'"&amp;B7&amp;"'",IF(B9="","'"&amp;B6&amp;"',"&amp;"'"&amp;B7&amp;"',"&amp;"'"&amp;B8&amp;"'",IF(B10="","'"&amp;B6&amp;"',"&amp;"'"&amp;B7&amp;"',"&amp;"'"&amp;B8&amp;"',"&amp;"'"&amp;B9&amp;"'",IF(C6="","'"&amp;B6&amp;"',"&amp;"'"&amp;B7&amp;"',"&amp;"'"&amp;B8&amp;"',"&amp;"'"&amp;B9&amp;"',"&amp;"'"&amp;B10&amp;"'",IF(C7="","'"&amp;B6&amp;"',"&amp;"'"&amp;B7&amp;"',"&amp;"'"&amp;B8&amp;"',"&amp;"'"&amp;B9&amp;"',"&amp;"'"&amp;B10&amp;"',"&amp;"'"&amp;C6&amp;"'",IF(C8="","'"&amp;B6&amp;"',"&amp;"'"&amp;B7&amp;"',"&amp;"'"&amp;B8&amp;"',"&amp;"'"&amp;B9&amp;"',"&amp;"'"&amp;B10&amp;"',"&amp;"'"&amp;C6&amp;"',"&amp;"'"&amp;C7&amp;"'",)))))))</f>
        <v>'454896','454831'</v>
      </c>
      <c r="C11" s="297"/>
      <c r="D11" s="298"/>
      <c r="E11" s="34"/>
      <c r="F11" s="3"/>
      <c r="G11" s="312"/>
      <c r="H11" s="323" t="str">
        <f>IF(C4="00","","CALL PGM(ELECTRON/CEC1835) PARM('B' '00"&amp;C4&amp;"')")</f>
        <v/>
      </c>
      <c r="I11" s="273" t="s">
        <v>320</v>
      </c>
      <c r="J11" s="17"/>
    </row>
    <row r="12" spans="1:11" ht="15" customHeight="1">
      <c r="A12" s="236" t="s">
        <v>129</v>
      </c>
      <c r="B12" s="300" t="b">
        <v>1</v>
      </c>
      <c r="C12" s="300"/>
      <c r="D12" s="300"/>
      <c r="E12" s="34" t="s">
        <v>413</v>
      </c>
      <c r="G12" s="312"/>
      <c r="H12" s="323"/>
      <c r="I12" s="273" t="s">
        <v>113</v>
      </c>
      <c r="J12" s="17"/>
    </row>
    <row r="13" spans="1:11" ht="15" customHeight="1">
      <c r="A13" s="236" t="s">
        <v>130</v>
      </c>
      <c r="B13" s="300" t="b">
        <v>1</v>
      </c>
      <c r="C13" s="300"/>
      <c r="D13" s="300"/>
      <c r="E13" s="34" t="s">
        <v>413</v>
      </c>
      <c r="G13" s="312"/>
      <c r="H13" s="323"/>
      <c r="I13" s="273" t="s">
        <v>114</v>
      </c>
      <c r="J13" s="17"/>
    </row>
    <row r="14" spans="1:11" ht="15" customHeight="1">
      <c r="A14" s="236" t="s">
        <v>132</v>
      </c>
      <c r="B14" s="324" t="b">
        <v>1</v>
      </c>
      <c r="C14" s="325"/>
      <c r="D14" s="326"/>
      <c r="E14" s="34"/>
      <c r="G14" s="312"/>
      <c r="H14" s="284"/>
      <c r="I14" s="273"/>
      <c r="J14" s="17"/>
    </row>
    <row r="15" spans="1:11" ht="15" customHeight="1">
      <c r="A15" s="236" t="s">
        <v>131</v>
      </c>
      <c r="B15" s="300" t="b">
        <v>1</v>
      </c>
      <c r="C15" s="300"/>
      <c r="D15" s="300"/>
      <c r="E15" s="34" t="s">
        <v>413</v>
      </c>
      <c r="G15" s="312"/>
      <c r="H15" s="323" t="str">
        <f>IF(D4="00","","CALL PGM(ELECTRON/CEC1835) PARM('B' '00"&amp;D4&amp;"')")</f>
        <v/>
      </c>
      <c r="I15" s="273" t="str">
        <f>"CLRPFM file(TD"&amp;REPT(0,4-LEN(B4))&amp;B4&amp;"/CANJEIT2)"</f>
        <v>CLRPFM file(TD0008/CANJEIT2)</v>
      </c>
      <c r="J15" s="17"/>
    </row>
    <row r="16" spans="1:11" ht="15" customHeight="1">
      <c r="A16" s="236" t="s">
        <v>616</v>
      </c>
      <c r="B16" s="300" t="b">
        <v>0</v>
      </c>
      <c r="C16" s="300"/>
      <c r="D16" s="300"/>
      <c r="E16" s="34"/>
      <c r="G16" s="312"/>
      <c r="H16" s="323"/>
      <c r="I16" s="273" t="str">
        <f>"CLRPFM file(TD"&amp;REPT(0,4-LEN($B$4))&amp;$B$4&amp;"/CANJEITX)"</f>
        <v>CLRPFM file(TD0008/CANJEITX)</v>
      </c>
      <c r="J16" s="17"/>
    </row>
    <row r="17" spans="1:13" ht="15" customHeight="1">
      <c r="A17" s="236" t="s">
        <v>411</v>
      </c>
      <c r="B17" s="300"/>
      <c r="C17" s="300"/>
      <c r="D17" s="300"/>
      <c r="E17" s="34"/>
      <c r="G17" s="312"/>
      <c r="H17" s="323"/>
      <c r="I17" s="273" t="s">
        <v>634</v>
      </c>
      <c r="J17" s="17"/>
    </row>
    <row r="18" spans="1:13">
      <c r="A18" s="239" t="s">
        <v>146</v>
      </c>
      <c r="B18" s="300" t="b">
        <v>1</v>
      </c>
      <c r="C18" s="300"/>
      <c r="D18" s="300"/>
      <c r="E18" s="34"/>
      <c r="G18" s="312"/>
      <c r="H18" s="323"/>
      <c r="I18" s="273" t="s">
        <v>322</v>
      </c>
      <c r="J18" s="17"/>
    </row>
    <row r="19" spans="1:13" ht="15" customHeight="1">
      <c r="A19" s="240" t="s">
        <v>148</v>
      </c>
      <c r="B19" s="300" t="b">
        <v>0</v>
      </c>
      <c r="C19" s="300"/>
      <c r="D19" s="300"/>
      <c r="E19" s="34"/>
    </row>
    <row r="20" spans="1:13" ht="15" customHeight="1">
      <c r="A20" s="241" t="s">
        <v>508</v>
      </c>
      <c r="B20" s="299" t="s">
        <v>147</v>
      </c>
      <c r="C20" s="299"/>
      <c r="D20" s="299"/>
      <c r="E20" s="34"/>
      <c r="G20" s="270" t="s">
        <v>138</v>
      </c>
      <c r="H20" s="285" t="s">
        <v>109</v>
      </c>
    </row>
    <row r="21" spans="1:13" ht="15" customHeight="1">
      <c r="A21" s="93" t="s">
        <v>841</v>
      </c>
      <c r="B21" s="104" t="str">
        <f>VLOOKUP(B3,'Bancos y listas'!$T:$U,2,FALSE)</f>
        <v>COOPCENTRAL\</v>
      </c>
      <c r="C21" s="104" t="e">
        <f>VLOOKUP(C3,'Bancos y listas'!$T:$U,2,FALSE)</f>
        <v>#N/A</v>
      </c>
      <c r="D21" s="104" t="e">
        <f>VLOOKUP(D3,'Bancos y listas'!$T:$U,2,FALSE)</f>
        <v>#N/A</v>
      </c>
      <c r="E21" s="17"/>
    </row>
    <row r="22" spans="1:13" ht="15.5">
      <c r="E22"/>
      <c r="G22" s="89" t="s">
        <v>128</v>
      </c>
      <c r="H22" s="285" t="s">
        <v>128</v>
      </c>
    </row>
    <row r="23" spans="1:13" ht="15.5">
      <c r="E23"/>
      <c r="G23" s="37"/>
      <c r="H23" s="283"/>
    </row>
    <row r="24" spans="1:13" ht="15" customHeight="1">
      <c r="E24"/>
      <c r="G24" s="312" t="s">
        <v>139</v>
      </c>
      <c r="H24" s="320" t="str">
        <f>"CALL PGM(ELECTRON/CEC1835) PARM('C' '0000')"</f>
        <v>CALL PGM(ELECTRON/CEC1835) PARM('C' '0000')</v>
      </c>
      <c r="I24" s="304" t="s">
        <v>602</v>
      </c>
      <c r="J24" s="304"/>
      <c r="K24" s="304"/>
      <c r="L24" s="304"/>
      <c r="M24" s="141" t="s">
        <v>146</v>
      </c>
    </row>
    <row r="25" spans="1:13" ht="15" customHeight="1">
      <c r="E25"/>
      <c r="G25" s="312"/>
      <c r="H25" s="321"/>
      <c r="I25" s="304" t="s">
        <v>603</v>
      </c>
      <c r="J25" s="304"/>
      <c r="K25" s="304"/>
      <c r="L25" s="304"/>
      <c r="M25" s="95" t="s">
        <v>148</v>
      </c>
    </row>
    <row r="26" spans="1:13" ht="15" customHeight="1">
      <c r="E26"/>
      <c r="G26" s="312"/>
      <c r="H26" s="321"/>
      <c r="I26" s="304" t="s">
        <v>591</v>
      </c>
      <c r="J26" s="304"/>
      <c r="K26" s="304"/>
      <c r="L26" s="304"/>
      <c r="M26" s="96" t="s">
        <v>147</v>
      </c>
    </row>
    <row r="27" spans="1:13" ht="15" customHeight="1">
      <c r="E27"/>
      <c r="G27" s="312"/>
      <c r="H27" s="321"/>
      <c r="I27" s="304" t="s">
        <v>635</v>
      </c>
      <c r="J27" s="304"/>
      <c r="K27" s="304"/>
      <c r="L27" s="304"/>
      <c r="M27" s="143" t="s">
        <v>556</v>
      </c>
    </row>
    <row r="28" spans="1:13" ht="15" customHeight="1">
      <c r="E28"/>
      <c r="G28" s="312"/>
      <c r="H28" s="321"/>
      <c r="I28" s="304" t="s">
        <v>166</v>
      </c>
      <c r="J28" s="304"/>
      <c r="K28" s="304"/>
      <c r="L28" s="304"/>
      <c r="M28" s="110" t="s">
        <v>154</v>
      </c>
    </row>
    <row r="29" spans="1:13" ht="15" customHeight="1">
      <c r="E29"/>
      <c r="G29" s="312"/>
      <c r="H29" s="321"/>
      <c r="I29" s="304" t="s">
        <v>167</v>
      </c>
      <c r="J29" s="304"/>
      <c r="K29" s="304"/>
      <c r="L29" s="304"/>
      <c r="M29" s="110" t="s">
        <v>155</v>
      </c>
    </row>
    <row r="30" spans="1:13" ht="15" customHeight="1">
      <c r="E30"/>
      <c r="G30" s="312"/>
      <c r="H30" s="321"/>
      <c r="I30" s="304" t="s">
        <v>168</v>
      </c>
      <c r="J30" s="304"/>
      <c r="K30" s="304"/>
      <c r="L30" s="304"/>
      <c r="M30" s="110" t="s">
        <v>156</v>
      </c>
    </row>
    <row r="31" spans="1:13" ht="15" customHeight="1">
      <c r="E31"/>
      <c r="G31" s="312"/>
      <c r="H31" s="321"/>
      <c r="I31" s="304" t="s">
        <v>169</v>
      </c>
      <c r="J31" s="304"/>
      <c r="K31" s="304"/>
      <c r="L31" s="304"/>
      <c r="M31" s="110" t="s">
        <v>171</v>
      </c>
    </row>
    <row r="32" spans="1:13" ht="15" customHeight="1">
      <c r="E32"/>
      <c r="G32" s="312"/>
      <c r="H32" s="322"/>
      <c r="I32" s="304" t="s">
        <v>170</v>
      </c>
      <c r="J32" s="304"/>
      <c r="K32" s="304"/>
      <c r="L32" s="304"/>
      <c r="M32" s="110" t="s">
        <v>172</v>
      </c>
    </row>
    <row r="33" spans="5:12" ht="15.5">
      <c r="E33"/>
      <c r="G33" s="37"/>
      <c r="H33" s="283"/>
    </row>
    <row r="34" spans="5:12" ht="15" customHeight="1">
      <c r="E34"/>
      <c r="G34" s="319" t="s">
        <v>316</v>
      </c>
      <c r="H34" s="285" t="s">
        <v>317</v>
      </c>
      <c r="I34" s="274" t="s">
        <v>146</v>
      </c>
    </row>
    <row r="35" spans="5:12" ht="15" customHeight="1">
      <c r="E35"/>
      <c r="G35" s="319"/>
      <c r="H35" s="285" t="s">
        <v>318</v>
      </c>
      <c r="I35" s="275" t="s">
        <v>148</v>
      </c>
    </row>
    <row r="36" spans="5:12" ht="15" customHeight="1">
      <c r="E36"/>
      <c r="G36" s="319"/>
      <c r="H36" s="285" t="str">
        <f>"WRKF FILE("&amp;IF(B20="EASV","SWITCH","CANJE")&amp;"/"&amp;IF(B20="EASV","SWFCAJER","SWFCAJER")&amp;")"</f>
        <v>WRKF FILE(SWITCH/SWFCAJER)</v>
      </c>
      <c r="I36" s="276" t="s">
        <v>147</v>
      </c>
    </row>
    <row r="37" spans="5:12" ht="15.75" customHeight="1">
      <c r="E37"/>
      <c r="G37" s="319"/>
      <c r="H37" s="285" t="s">
        <v>565</v>
      </c>
      <c r="I37" s="277" t="s">
        <v>556</v>
      </c>
    </row>
    <row r="38" spans="5:12" ht="15.5">
      <c r="E38"/>
      <c r="G38" s="37"/>
      <c r="H38" s="283"/>
      <c r="I38" s="142"/>
    </row>
    <row r="39" spans="5:12" ht="15.5">
      <c r="E39"/>
      <c r="G39" s="38" t="s">
        <v>116</v>
      </c>
      <c r="H39" s="285" t="s">
        <v>116</v>
      </c>
    </row>
    <row r="40" spans="5:12" ht="15.5">
      <c r="E40"/>
      <c r="G40" s="37"/>
      <c r="H40" s="283"/>
    </row>
    <row r="41" spans="5:12" ht="75" customHeight="1">
      <c r="E41"/>
      <c r="G41" s="39" t="s">
        <v>637</v>
      </c>
      <c r="H41" s="284" t="str">
        <f>IF(B20="EASV",IF(AND(L45=TRUE,L46=TRUE,L47=TRUE),"SELECT DFHTRA, DCDMSG, DCDTYP, DCCADQ, DCCEMI,substr(DCDTAR, 1, 6)||'********'||substr(DCDTAR, 15, 2) AS TARJPRO, DMONT1,DCPAIS,     
DCDRES, DCDAUT FROM BODEGATMP/FTLF_YS where DCCEMI like '%"&amp;B4&amp;"%' AND substr(DCDTAR, 1, 6)in ("&amp;B11&amp;") and DCDAUT&lt;&gt;''  ORDER BY DCDAUT",IF(AND(L45=TRUE,L46=TRUE),"SELECT DFHTRA, DCDMSG, DCDTYP, DCCADQ, DCCEMI,substr(DCDTAR, 1, 6)||'********'||substr(DCDTAR, 15, 2) AS TARJPRO, DMONT1,DCPAIS,     
DCDRES, DCDAUT FROM BODEGATMP/FTLF_YS where  substr(DCDTAR, 1, 6)in ("&amp;B11&amp;") and DCDAUT&lt;&gt;''  ORDER BY DCDAUT",IF(AND(L46=TRUE,L47=TRUE),"SELECT DFHTRA, DCDMSG, DCDTYP, DCCADQ, DCCEMI,substr(DCDTAR, 1, 6)||'********'||substr(DCDTAR, 15, 2) AS TARJPRO, DMONT1,DCPAIS,     
DCDRES, DCDAUT FROM BODEGATMP/FTLF_YS where DCCEMI like '%"&amp;B4&amp;"%' AND substr(DCDTAR, 1, 6)in ("&amp;B11&amp;") ORDER BY DCDAUT",IF(AND(L45=TRUE,L47=TRUE),"SELECT DFHTRA, DCDMSG, DCDTYP, DCCADQ, DCCEMI,substr(DCDTAR, 1, 6)||'********'||substr(DCDTAR, 15, 2) AS TARJPRO, DMONT1,DCPAIS,     
DCDRES, DCDAUT FROM BODEGATMP/FTLF_YS where DCCEMI like '%"&amp;B4&amp;"%' and DCDAUT&lt;&gt;''  ORDER BY DCDAUT",IF(L45=TRUE,"SELECT DFHTRA, DCDMSG, DCDTYP, DCCADQ, DCCEMI,substr(DCDTAR, 1, 6)||'********'||substr(DCDTAR, 15, 2) AS TARJPRO, DMONT1,DCPAIS,     
DCDRES, DCDAUT FROM BODEGATMP/FTLF_YS where DCDAUT&lt;&gt;''  ORDER BY DCDAUT",IF(L46=TRUE,"SELECT DFHTRA, DCDMSG, DCDTYP, DCCADQ, DCCEMI,substr(DCDTAR, 1, 6)||'********'||substr(DCDTAR, 15, 2) AS TARJPRO, DMONT1,DCPAIS,     
DCDRES, DCDAUT FROM BODEGATMP/FTLF_YS where  substr(DCDTAR, 1, 6)in ("&amp;B11&amp;") ORDER BY DCDAUT",IF(L47=TRUE,"SELECT DFHTRA, DCDMSG, DCDTYP, DCCADQ, DCCEMI,substr(DCDTAR, 1, 6)||'********'||substr(DCDTAR, 15, 2) AS TARJPRO, DMONT1,DCPAIS,     
DCDRES, DCDAUT FROM BODEGATMP/FTLF_YS where DCCEMI like '%"&amp;B4&amp;"%' ORDER BY DCDAUT","SELECT DFHTRA, DCDMSG, DCDTYP, DCCADQ, DCCEMI,substr(DCDTAR, 1, 6)||'********'||substr(DCDTAR, 15, 2) AS TARJPRO, DMONT1,DCPAIS,     
DCDRES, DCDAUT FROM BODEGATMP/FTLF_YS  ORDER BY DCDAUT"))))))),IF(B20="REDEBAN",IF(AND(L45=TRUE,L46=TRUE,L47=TRUE),"SELECT DFHTRA, DCDMSG, DCDTYP, DCCADQ, DCCEMI,substr(DCDTAR, 1, 6)||'********'||substr(DCDTAR, 15, 2) AS TARJPRO, DMONT1,DCPAIS,     
DCDRES, DCDAUT FROM BODEGATMP/FTLF_NS where DCCEMI like '%"&amp;B4&amp;"%' AND substr(DCDTAR, 1, 6)in ("&amp;B11&amp;") and DCDAUT&lt;&gt;''  ORDER BY DCDAUT",IF(AND(L45=TRUE,L46=TRUE),"SELECT DFHTRA, DCDMSG, DCDTYP, DCCADQ, DCCEMI,substr(DCDTAR, 1, 6)||'********'||substr(DCDTAR, 15, 2) AS TARJPRO, DMONT1,DCPAIS,     
DCDRES, DCDAUT FROM BODEGATMP/FTLF_NS where  substr(DCDTAR, 1, 6)in ("&amp;B11&amp;") and DCDAUT&lt;&gt;''  ORDER BY DCDAUT",IF(AND(L46=TRUE,L47=TRUE),"SELECT DFHTRA, DCDMSG, DCDTYP, DCCADQ, DCCEMI,substr(DCDTAR, 1, 6)||'********'||substr(DCDTAR, 15, 2) AS TARJPRO, DMONT1,DCPAIS,     
DCDRES, DCDAUT FROM BODEGATMP/FTLF_NS where DCCEMI like '%"&amp;B4&amp;"%' AND substr(DCDTAR, 1, 6)in ("&amp;B11&amp;") ORDER BY DCDAUT",IF(AND(L45=TRUE,L47=TRUE),"SELECT DFHTRA, DCDMSG, DCDTYP, DCCADQ, DCCEMI,substr(DCDTAR, 1, 6)||'********'||substr(DCDTAR, 15, 2) AS TARJPRO, DMONT1,DCPAIS,     
DCDRES, DCDAUT FROM BODEGATMP/FTLF_NS where DCCEMI like '%"&amp;B4&amp;"%' and DCDAUT&lt;&gt;''  ORDER BY DCDAUT",IF(L45=TRUE,"SELECT DFHTRA, DCDMSG, DCDTYP, DCCADQ, DCCEMI,substr(DCDTAR, 1, 6)||'********'||substr(DCDTAR, 15, 2) AS TARJPRO, DMONT1,DCPAIS,     
DCDRES, DCDAUT FROM BODEGATMP/FTLF_NS where DCDAUT&lt;&gt;''  ORDER BY DCDAUT",IF(L46=TRUE,"SELECT DFHTRA, DCDMSG, DCDTYP, DCCADQ, DCCEMI,substr(DCDTAR, 1, 6)||'********'||substr(DCDTAR, 15, 2) AS TARJPRO, DMONT1,DCPAIS,     
DCDRES, DCDAUT FROM BODEGATMP/FTLF_NS where  substr(DCDTAR, 1, 6)in ("&amp;B11&amp;") ORDER BY DCDAUT",IF(L47=TRUE,"SELECT DFHTRA, DCDMSG, DCDTYP, DCCADQ, DCCEMI,substr(DCDTAR, 1, 6)||'********'||substr(DCDTAR, 15, 2) AS TARJPRO, DMONT1,DCPAIS,     
DCDRES, DCDAUT FROM BODEGATMP/FTLF_NS where DCCEMI like '%"&amp;B4&amp;"%' ORDER BY DCDAUT","SELECT DFHTRA, DCDMSG, DCDTYP, DCCADQ, DCCEMI,substr(DCDTAR, 1, 6)||'********'||substr(DCDTAR, 15, 2) AS TARJPRO, DMONT1,DCPAIS,     
DCDRES, DCDAUT FROM BODEGATMP/FTLF_NS  ORDER BY DCDAUT"))))))),""))</f>
        <v>SELECT DFHTRA, DCDMSG, DCDTYP, DCCADQ, DCCEMI,substr(DCDTAR, 1, 6)||'********'||substr(DCDTAR, 15, 2) AS TARJPRO, DMONT1,DCPAIS,     
DCDRES, DCDAUT FROM BODEGATMP/FTLF_YS where  substr(DCDTAR, 1, 6)in ('454896','454831') ORDER BY DCDAUT</v>
      </c>
      <c r="I41" s="327" t="str">
        <f>B20</f>
        <v>EASV</v>
      </c>
    </row>
    <row r="42" spans="5:12" ht="75" customHeight="1">
      <c r="E42"/>
      <c r="G42" s="39" t="s">
        <v>638</v>
      </c>
      <c r="H42" s="284" t="str">
        <f>IF(C4="00","",IF(B20="EASV",IF(AND(L45=TRUE,L46=TRUE,L47=TRUE),"SELECT DFHTRA, DCDMSG, DCDTYP, DCCADQ, DCCEMI,substr(DCDTAR, 1, 6)||'********'||substr(DCDTAR, 15, 2) AS TARJPRO, DMONT1,DCPAIS,     
DCDRES, DCDAUT FROM BODEGATMP/FTLF_YS where DCCEMI like '%"&amp;C4&amp;"%' AND substr(DCDTAR, 1, 6)in ("&amp;B11&amp;") and DCDAUT&lt;&gt;''  ORDER BY DCDAUT",IF(AND(L45=TRUE,L46=TRUE),"SELECT DFHTRA, DCDMSG, DCDTYP, DCCADQ, DCCEMI,substr(DCDTAR, 1, 6)||'********'||substr(DCDTAR, 15, 2) AS TARJPRO, DMONT1,DCPAIS,     
DCDRES, DCDAUT FROM BODEGATMP/FTLF_YS where  substr(DCDTAR, 1, 6)in ("&amp;B11&amp;") and DCDAUT&lt;&gt;''  ORDER BY DCDAUT",IF(AND(L46=TRUE,L47=TRUE),"SELECT DFHTRA, DCDMSG, DCDTYP, DCCADQ, DCCEMI,substr(DCDTAR, 1, 6)||'********'||substr(DCDTAR, 15, 2) AS TARJPRO, DMONT1,DCPAIS,     
DCDRES, DCDAUT FROM BODEGATMP/FTLF_YS where DCCEMI like '%"&amp;C4&amp;"%' AND substr(DCDTAR, 1, 6)in ("&amp;B11&amp;") ORDER BY DCDAUT",IF(AND(L45=TRUE,L47=TRUE),"SELECT DFHTRA, DCDMSG, DCDTYP, DCCADQ, DCCEMI,substr(DCDTAR, 1, 6)||'********'||substr(DCDTAR, 15, 2) AS TARJPRO, DMONT1,DCPAIS,     
DCDRES, DCDAUT FROM BODEGATMP/FTLF_YS where DCCEMI like '%"&amp;C4&amp;"%' and DCDAUT&lt;&gt;''  ORDER BY DCDAUT",IF(L45=TRUE,"SELECT DFHTRA, DCDMSG, DCDTYP, DCCADQ, DCCEMI,substr(DCDTAR, 1, 6)||'********'||substr(DCDTAR, 15, 2) AS TARJPRO, DMONT1,DCPAIS,     
DCDRES, DCDAUT FROM BODEGATMP/FTLF_YS where DCDAUT&lt;&gt;''  ORDER BY DCDAUT",IF(L46=TRUE,"SELECT DFHTRA, DCDMSG, DCDTYP, DCCADQ, DCCEMI,substr(DCDTAR, 1, 6)||'********'||substr(DCDTAR, 15, 2) AS TARJPRO, DMONT1,DCPAIS,     
DCDRES, DCDAUT FROM BODEGATMP/FTLF_YS where  substr(DCDTAR, 1, 6)in ("&amp;B11&amp;") ORDER BY DCDAUT",IF(L47=TRUE,"SELECT DFHTRA, DCDMSG, DCDTYP, DCCADQ, DCCEMI,substr(DCDTAR, 1, 6)||'********'||substr(DCDTAR, 15, 2) AS TARJPRO, DMONT1,DCPAIS,     
DCDRES, DCDAUT FROM BODEGATMP/FTLF_YS where DCCEMI like '%"&amp;C4&amp;"%' ORDER BY DCDAUT","SELECT DFHTRA, DCDMSG, DCDTYP, DCCADQ, DCCEMI,substr(DCDTAR, 1, 6)||'********'||substr(DCDTAR, 15, 2) AS TARJPRO, DMONT1,DCPAIS,     
DCDRES, DCDAUT FROM BODEGATMP/FTLF_YS  ORDER BY DCDAUT"))))))),IF(B20="REDEBAN",IF(AND(L45=TRUE,L46=TRUE,L47=TRUE),"SELECT DFHTRA, DCDMSG, DCDTYP, DCCADQ, DCCEMI,substr(DCDTAR, 1, 6)||'********'||substr(DCDTAR, 15, 2) AS TARJPRO, DMONT1,DCPAIS,     
DCDRES, DCDAUT FROM BODEGATMP/FTLF_NS where DCCEMI like '%"&amp;C4&amp;"%' AND substr(DCDTAR, 1, 6)in ("&amp;B11&amp;") and DCDAUT&lt;&gt;''  ORDER BY DCDAUT",IF(AND(L45=TRUE,L46=TRUE),"SELECT DFHTRA, DCDMSG, DCDTYP, DCCADQ, DCCEMI,substr(DCDTAR, 1, 6)||'********'||substr(DCDTAR, 15, 2) AS TARJPRO, DMONT1,DCPAIS,     
DCDRES, DCDAUT FROM BODEGATMP/FTLF_NS where  substr(DCDTAR, 1, 6)in ("&amp;B11&amp;") and DCDAUT&lt;&gt;''  ORDER BY DCDAUT",IF(AND(L46=TRUE,L47=TRUE),"SELECT DFHTRA, DCDMSG, DCDTYP, DCCADQ, DCCEMI,substr(DCDTAR, 1, 6)||'********'||substr(DCDTAR, 15, 2) AS TARJPRO, DMONT1,DCPAIS,     
DCDRES, DCDAUT FROM BODEGATMP/FTLF_NS where DCCEMI like '%"&amp;C4&amp;"%' AND substr(DCDTAR, 1, 6)in ("&amp;B11&amp;") ORDER BY DCDAUT",IF(AND(L45=TRUE,L47=TRUE),"SELECT DFHTRA, DCDMSG, DCDTYP, DCCADQ, DCCEMI,substr(DCDTAR, 1, 6)||'********'||substr(DCDTAR, 15, 2) AS TARJPRO, DMONT1,DCPAIS,     
DCDRES, DCDAUT FROM BODEGATMP/FTLF_NS where DCCEMI like '%"&amp;C4&amp;"%' and DCDAUT&lt;&gt;''  ORDER BY DCDAUT",IF(L45=TRUE,"SELECT DFHTRA, DCDMSG, DCDTYP, DCCADQ, DCCEMI,substr(DCDTAR, 1, 6)||'********'||substr(DCDTAR, 15, 2) AS TARJPRO, DMONT1,DCPAIS,     
DCDRES, DCDAUT FROM BODEGATMP/FTLF_NS where DCDAUT&lt;&gt;''  ORDER BY DCDAUT",IF(L46=TRUE,"SELECT DFHTRA, DCDMSG, DCDTYP, DCCADQ, DCCEMI,substr(DCDTAR, 1, 6)||'********'||substr(DCDTAR, 15, 2) AS TARJPRO, DMONT1,DCPAIS,     
DCDRES, DCDAUT FROM BODEGATMP/FTLF_NS where  substr(DCDTAR, 1, 6)in ("&amp;B11&amp;") ORDER BY DCDAUT",IF(L47=TRUE,"SELECT DFHTRA, DCDMSG, DCDTYP, DCCADQ, DCCEMI,substr(DCDTAR, 1, 6)||'********'||substr(DCDTAR, 15, 2) AS TARJPRO, DMONT1,DCPAIS,     
DCDRES, DCDAUT FROM BODEGATMP/FTLF_NS where DCCEMI like '%"&amp;C4&amp;"%' ORDER BY DCDAUT","SELECT DFHTRA, DCDMSG, DCDTYP, DCCADQ, DCCEMI,substr(DCDTAR, 1, 6)||'********'||substr(DCDTAR, 15, 2) AS TARJPRO, DMONT1,DCPAIS,     
DCDRES, DCDAUT FROM BODEGATMP/FTLF_NS  ORDER BY DCDAUT"))))))),"")))</f>
        <v/>
      </c>
      <c r="I42" s="328"/>
    </row>
    <row r="43" spans="5:12" ht="75" customHeight="1">
      <c r="E43"/>
      <c r="G43" s="39" t="s">
        <v>639</v>
      </c>
      <c r="H43" s="284" t="str">
        <f>IF(D4="00","",IF(B20="EASV",IF(AND(L45=TRUE,L46=TRUE,L47=TRUE),"SELECT DFHTRA, DCDMSG, DCDTYP, DCCADQ, DCCEMI,substr(DCDTAR, 1, 6)||'********'||substr(DCDTAR, 15, 2) AS TARJPRO, DMONT1,DCPAIS,     
DCDRES, DCDAUT FROM BODEGATMP/FTLF_YS where DCCEMI like '%"&amp;D4&amp;"%' AND substr(DCDTAR, 1, 6)in ("&amp;B11&amp;") and DCDAUT&lt;&gt;''  ORDER BY DCDAUT",IF(AND(L45=TRUE,L46=TRUE),"SELECT DFHTRA, DCDMSG, DCDTYP, DCCADQ, DCCEMI,substr(DCDTAR, 1, 6)||'********'||substr(DCDTAR, 15, 2) AS TARJPRO, DMONT1,DCPAIS,     
DCDRES, DCDAUT FROM BODEGATMP/FTLF_YS where  substr(DCDTAR, 1, 6)in ("&amp;B11&amp;") and DCDAUT&lt;&gt;''  ORDER BY DCDAUT",IF(AND(L46=TRUE,L47=TRUE),"SELECT DFHTRA, DCDMSG, DCDTYP, DCCADQ, DCCEMI,substr(DCDTAR, 1, 6)||'********'||substr(DCDTAR, 15, 2) AS TARJPRO, DMONT1,DCPAIS,     
DCDRES, DCDAUT FROM BODEGATMP/FTLF_YS where DCCEMI like '%"&amp;D4&amp;"%' AND substr(DCDTAR, 1, 6)in ("&amp;B11&amp;") ORDER BY DCDAUT",IF(AND(L45=TRUE,L47=TRUE),"SELECT DFHTRA, DCDMSG, DCDTYP, DCCADQ, DCCEMI,substr(DCDTAR, 1, 6)||'********'||substr(DCDTAR, 15, 2) AS TARJPRO, DMONT1,DCPAIS,     
DCDRES, DCDAUT FROM BODEGATMP/FTLF_YS where DCCEMI like '%"&amp;D4&amp;"%' and DCDAUT&lt;&gt;''  ORDER BY DCDAUT",IF(L45=TRUE,"SELECT DFHTRA, DCDMSG, DCDTYP, DCCADQ, DCCEMI,substr(DCDTAR, 1, 6)||'********'||substr(DCDTAR, 15, 2) AS TARJPRO, DMONT1,DCPAIS,     
DCDRES, DCDAUT FROM BODEGATMP/FTLF_YS where DCDAUT&lt;&gt;''  ORDER BY DCDAUT",IF(L46=TRUE,"SELECT DFHTRA, DCDMSG, DCDTYP, DCCADQ, DCCEMI,substr(DCDTAR, 1, 6)||'********'||substr(DCDTAR, 15, 2) AS TARJPRO, DMONT1,DCPAIS,     
DCDRES, DCDAUT FROM BODEGATMP/FTLF_YS where  substr(DCDTAR, 1, 6)in ("&amp;B11&amp;") ORDER BY DCDAUT",IF(L47=TRUE,"SELECT DFHTRA, DCDMSG, DCDTYP, DCCADQ, DCCEMI,substr(DCDTAR, 1, 6)||'********'||substr(DCDTAR, 15, 2) AS TARJPRO, DMONT1,DCPAIS,     
DCDRES, DCDAUT FROM BODEGATMP/FTLF_YS where DCCEMI like '%"&amp;D4&amp;"%' ORDER BY DCDAUT","SELECT DFHTRA, DCDMSG, DCDTYP, DCCADQ, DCCEMI,substr(DCDTAR, 1, 6)||'********'||substr(DCDTAR, 15, 2) AS TARJPRO, DMONT1,DCPAIS,     
DCDRES, DCDAUT FROM BODEGATMP/FTLF_YS  ORDER BY DCDAUT"))))))),IF(B20="REDEBAN",IF(AND(L45=TRUE,L46=TRUE,L47=TRUE),"SELECT DFHTRA, DCDMSG, DCDTYP, DCCADQ, DCCEMI,substr(DCDTAR, 1, 6)||'********'||substr(DCDTAR, 15, 2) AS TARJPRO, DMONT1,DCPAIS,     
DCDRES, DCDAUT FROM BODEGATMP/FTLF_NS where DCCEMI like '%"&amp;D4&amp;"%' AND substr(DCDTAR, 1, 6)in ("&amp;B11&amp;") and DCDAUT&lt;&gt;''  ORDER BY DCDAUT",IF(AND(L45=TRUE,L46=TRUE),"SELECT DFHTRA, DCDMSG, DCDTYP, DCCADQ, DCCEMI,substr(DCDTAR, 1, 6)||'********'||substr(DCDTAR, 15, 2) AS TARJPRO, DMONT1,DCPAIS,     
DCDRES, DCDAUT FROM BODEGATMP/FTLF_NS where  substr(DCDTAR, 1, 6)in ("&amp;B11&amp;") and DCDAUT&lt;&gt;''  ORDER BY DCDAUT",IF(AND(L46=TRUE,L47=TRUE),"SELECT DFHTRA, DCDMSG, DCDTYP, DCCADQ, DCCEMI,substr(DCDTAR, 1, 6)||'********'||substr(DCDTAR, 15, 2) AS TARJPRO, DMONT1,DCPAIS,     
DCDRES, DCDAUT FROM BODEGATMP/FTLF_NS where DCCEMI like '%"&amp;D4&amp;"%' AND substr(DCDTAR, 1, 6)in ("&amp;B11&amp;") ORDER BY DCDAUT",IF(AND(L45=TRUE,L47=TRUE),"SELECT DFHTRA, DCDMSG, DCDTYP, DCCADQ, DCCEMI,substr(DCDTAR, 1, 6)||'********'||substr(DCDTAR, 15, 2) AS TARJPRO, DMONT1,DCPAIS,     
DCDRES, DCDAUT FROM BODEGATMP/FTLF_NS where DCCEMI like '%"&amp;D4&amp;"%' and DCDAUT&lt;&gt;''  ORDER BY DCDAUT",IF(L45=TRUE,"SELECT DFHTRA, DCDMSG, DCDTYP, DCCADQ, DCCEMI,substr(DCDTAR, 1, 6)||'********'||substr(DCDTAR, 15, 2) AS TARJPRO, DMONT1,DCPAIS,     
DCDRES, DCDAUT FROM BODEGATMP/FTLF_NS where DCDAUT&lt;&gt;''  ORDER BY DCDAUT",IF(L46=TRUE,"SELECT DFHTRA, DCDMSG, DCDTYP, DCCADQ, DCCEMI,substr(DCDTAR, 1, 6)||'********'||substr(DCDTAR, 15, 2) AS TARJPRO, DMONT1,DCPAIS,     
DCDRES, DCDAUT FROM BODEGATMP/FTLF_NS where  substr(DCDTAR, 1, 6)in ("&amp;B11&amp;") ORDER BY DCDAUT",IF(L47=TRUE,"SELECT DFHTRA, DCDMSG, DCDTYP, DCCADQ, DCCEMI,substr(DCDTAR, 1, 6)||'********'||substr(DCDTAR, 15, 2) AS TARJPRO, DMONT1,DCPAIS,     
DCDRES, DCDAUT FROM BODEGATMP/FTLF_NS where DCCEMI like '%"&amp;D4&amp;"%' ORDER BY DCDAUT","SELECT DFHTRA, DCDMSG, DCDTYP, DCCADQ, DCCEMI,substr(DCDTAR, 1, 6)||'********'||substr(DCDTAR, 15, 2) AS TARJPRO, DMONT1,DCPAIS,     
DCDRES, DCDAUT FROM BODEGATMP/FTLF_NS  ORDER BY DCDAUT"))))))),"")))</f>
        <v/>
      </c>
      <c r="I43" s="329"/>
    </row>
    <row r="44" spans="5:12" ht="15" customHeight="1">
      <c r="E44"/>
      <c r="K44" s="111" t="s">
        <v>315</v>
      </c>
      <c r="L44" s="111"/>
    </row>
    <row r="45" spans="5:12" ht="78" customHeight="1">
      <c r="E45"/>
      <c r="G45" s="39" t="s">
        <v>637</v>
      </c>
      <c r="H45" s="284" t="str">
        <f>IF(AND(L45=TRUE,L46=TRUE,L47=TRUE),"select DFHTRA, DCDMSG, DFIDID, DTPTRA, DCDEST, DTERMI, DCDRES,DREFER, DCAPFL,substr(dcdtar, 1, 6)||'********'||substr(dcdtar, 15, 2) AS TARJPRO,substr(DCDTAR, 1, 6), DMONT1,DCPAIS from BODEGATMP/FPTLFYS where DFIDID like '%"&amp;B4&amp;"%' AND substr(DCDTAR, 1, 6)in ("&amp;B11&amp;") and DREFER&lt;&gt;''  ORDER BY DREFER,DCAPFL",IF(AND(L45=TRUE,L46=TRUE),"select DFHTRA, DCDMSG, DFIDID, DTPTRA, DCDEST, DTERMI, DCDRES,DREFER, DCAPFL,substr(dcdtar, 1, 6)||'********'||substr(dcdtar, 15, 2) AS TARJPRO,substr(DCDTAR, 1, 6), DMONT1,DCPAIS from BODEGATMP/FPTLFYS where substr(DCDTAR, 1, 6)in ("&amp;B11&amp;") and DREFER&lt;&gt;''  ORDER BY DREFER,DCAPFL",IF(AND(L46=TRUE,L47=TRUE),"select DFHTRA, DCDMSG, DFIDID, DTPTRA, DCDEST, DTERMI, DCDRES,DREFER, DCAPFL,substr(dcdtar, 1, 6)||'********'||substr(dcdtar, 15, 2) AS TARJPRO,substr(DCDTAR, 1, 6), DMONT1,DCPAIS from BODEGATMP/FPTLFYS where DFIDID like '%"&amp;B4&amp;"%' AND substr(DCDTAR, 1, 6)in ("&amp;B11&amp;") ORDER BY DREFER,DCAPFL",IF(AND(L45=TRUE,L47=TRUE),"select DFHTRA, DCDMSG, DFIDID, DTPTRA, DCDEST, DTERMI, DCDRES,DREFER, DCAPFL,substr(dcdtar, 1, 6)||'********'||substr(dcdtar, 15, 2) AS TARJPRO,substr(DCDTAR, 1, 6), DMONT1,DCPAIS from BODEGATMP/FPTLFYS where DFIDID like '%"&amp;B4&amp;"%' and DREFER&lt;&gt;''  ORDER BY DREFER,DCAPFL",IF(L45=TRUE,"select DFHTRA, DCDMSG, DFIDID, DTPTRA, DCDEST, DTERMI, DCDRES,DREFER, DCAPFL,substr(dcdtar, 1, 6)||'********'||substr(dcdtar, 15, 2) AS TARJPRO,substr(DCDTAR, 1, 6), DMONT1,DCPAIS from BODEGATMP/FPTLFYS where  DREFER&lt;&gt;''  ORDER BY DREFER,DCAPFL",IF(L46=TRUE,"select DFHTRA, DCDMSG, DFIDID, DTPTRA, DCDEST, DTERMI, DCDRES,DREFER, DCAPFL,substr(dcdtar, 1, 6)||'********'||substr(dcdtar, 15, 2) AS TARJPRO,substr(DCDTAR, 1, 6), DMONT1,DCPAIS from BODEGATMP/FPTLFYS where  substr(DCDTAR, 1, 6)in ("&amp;B11&amp;")   ORDER BY DREFER,DCAPFL",IF(L47=TRUE,"select DFHTRA, DCDMSG, DFIDID, DTPTRA, DCDEST, DTERMI, DCDRES,DREFER, DCAPFL,substr(dcdtar, 1, 6)||'********'||substr(dcdtar, 15, 2) AS TARJPRO,substr(DCDTAR, 1, 6), DMONT1,DCPAIS from BODEGATMP/FPTLFYS where DFIDID like '%"&amp;B4&amp;"%'  ORDER BY DREFER,DCAPFL","select DFHTRA, DCDMSG, DFIDID, DTPTRA, DCDEST, DTERMI, DCDRES,DREFER, DCAPFL,substr(dcdtar, 1, 6)||'********'||substr(dcdtar, 15, 2) AS TARJPRO,substr(DCDTAR, 1, 6), DMONT1,DCPAIS from BODEGATMP/FPTLFYS ORDER BY DREFER,DCAPFL")))))))</f>
        <v>select DFHTRA, DCDMSG, DFIDID, DTPTRA, DCDEST, DTERMI, DCDRES,DREFER, DCAPFL,substr(dcdtar, 1, 6)||'********'||substr(dcdtar, 15, 2) AS TARJPRO,substr(DCDTAR, 1, 6), DMONT1,DCPAIS from BODEGATMP/FPTLFYS where  substr(DCDTAR, 1, 6)in ('454896','454831')   ORDER BY DREFER,DCAPFL</v>
      </c>
      <c r="I45" s="330" t="s">
        <v>146</v>
      </c>
      <c r="K45" s="34" t="s">
        <v>314</v>
      </c>
      <c r="L45" s="36" t="b">
        <v>0</v>
      </c>
    </row>
    <row r="46" spans="5:12" ht="75" customHeight="1">
      <c r="E46"/>
      <c r="G46" s="39" t="s">
        <v>638</v>
      </c>
      <c r="H46" s="284" t="str">
        <f>IF(C4="00","",IF(AND(L45=TRUE,L46=TRUE,L47=TRUE),"select DFHTRA, DCDMSG, DFIDID, DTPTRA, DCDEST, DTERMI, DCDRES,DREFER, DCAPFL,substr(dcdtar, 1, 6)||'********'||substr(dcdtar, 15, 2) AS TARJPRO,substr(DCDTAR, 1, 6), DMONT1,DCPAIS from BODEGATMP/FPTLFYS where DFIDID like '%"&amp;C4&amp;"%' AND substr(DCDTAR, 1, 6)in ("&amp;B11&amp;") and DREFER&lt;&gt;''  ORDER BY DREFER,DCAPFL",IF(AND(L45=TRUE,L46=TRUE),"select DFHTRA, DCDMSG, DFIDID, DTPTRA, DCDEST, DTERMI, DCDRES,DREFER, DCAPFL,substr(dcdtar, 1, 6)||'********'||substr(dcdtar, 15, 2) AS TARJPRO,substr(DCDTAR, 1, 6), DMONT1,DCPAIS from BODEGATMP/FPTLFYS where substr(DCDTAR, 1, 6)in ("&amp;B11&amp;") and DREFER&lt;&gt;''  ORDER BY DREFER,DCAPFL",IF(AND(L46=TRUE,L47=TRUE),"select DFHTRA, DCDMSG, DFIDID, DTPTRA, DCDEST, DTERMI, DCDRES,DREFER, DCAPFL,substr(dcdtar, 1, 6)||'********'||substr(dcdtar, 15, 2) AS TARJPRO,substr(DCDTAR, 1, 6), DMONT1,DCPAIS from BODEGATMP/FPTLFYS where DFIDID like '%"&amp;C4&amp;"%' AND substr(DCDTAR, 1, 6)in ("&amp;B11&amp;") ORDER BY DREFER,DCAPFL",IF(AND(L45=TRUE,L47=TRUE),"select DFHTRA, DCDMSG, DFIDID, DTPTRA, DCDEST, DTERMI, DCDRES,DREFER, DCAPFL,substr(dcdtar, 1, 6)||'********'||substr(dcdtar, 15, 2) AS TARJPRO,substr(DCDTAR, 1, 6), DMONT1,DCPAIS from BODEGATMP/FPTLFYS where DFIDID like '%"&amp;C4&amp;"%' and DREFER&lt;&gt;''  ORDER BY DREFER,DCAPFL",IF(L45=TRUE,"select DFHTRA, DCDMSG, DFIDID, DTPTRA, DCDEST, DTERMI, DCDRES,DREFER, DCAPFL,substr(dcdtar, 1, 6)||'********'||substr(dcdtar, 15, 2) AS TARJPRO,substr(DCDTAR, 1, 6), DMONT1,DCPAIS from BODEGATMP/FPTLFYS where  DREFER&lt;&gt;''  ORDER BY DREFER,DCAPFL",IF(L46=TRUE,"select DFHTRA, DCDMSG, DFIDID, DTPTRA, DCDEST, DTERMI, DCDRES,DREFER, DCAPFL,substr(dcdtar, 1, 6)||'********'||substr(dcdtar, 15, 2) AS TARJPRO,substr(DCDTAR, 1, 6), DMONT1,DCPAIS from BODEGATMP/FPTLFYS where  substr(DCDTAR, 1, 6)in ("&amp;B11&amp;")   ORDER BY DREFER,DCAPFL",IF(L47=TRUE,"select DFHTRA, DCDMSG, DFIDID, DTPTRA, DCDEST, DTERMI, DCDRES,DREFER, DCAPFL,substr(dcdtar, 1, 6)||'********'||substr(dcdtar, 15, 2) AS TARJPRO,substr(DCDTAR, 1, 6), DMONT1,DCPAIS from BODEGATMP/FPTLFYS where DFIDID like '%"&amp;C4&amp;"%'  ORDER BY DREFER,DCAPFL","select DFHTRA, DCDMSG, DFIDID, DTPTRA, DCDEST, DTERMI, DCDRES,DREFER, DCAPFL,substr(dcdtar, 1, 6)||'********'||substr(dcdtar, 15, 2) AS TARJPRO,substr(DCDTAR, 1, 6), DMONT1,DCPAIS from BODEGATMP/FPTLFYS ORDER BY DREFER,DCAPFL"))))))))</f>
        <v/>
      </c>
      <c r="I46" s="330"/>
      <c r="K46" s="34" t="s">
        <v>312</v>
      </c>
      <c r="L46" s="36" t="b">
        <v>1</v>
      </c>
    </row>
    <row r="47" spans="5:12" ht="75" customHeight="1">
      <c r="E47"/>
      <c r="G47" s="39" t="s">
        <v>639</v>
      </c>
      <c r="H47" s="284" t="str">
        <f>IF(D4="00","",IF(AND(L45=TRUE,L46=TRUE,L47=TRUE),"select DFHTRA, DCDMSG, DFIDID, DTPTRA, DCDEST, DTERMI, DCDRES,DREFER, DCAPFL,substr(dcdtar, 1, 6)||'********'||substr(dcdtar, 15, 2) AS TARJPRO,substr(DCDTAR, 1, 6), DMONT1,DCPAIS from BODEGATMP/FPTLFYS where DFIDID like '%"&amp;D4&amp;"%' AND substr(DCDTAR, 1, 6)in ("&amp;B11&amp;") and DREFER&lt;&gt;''  ORDER BY DREFER,DCAPFL",IF(AND(L45=TRUE,L46=TRUE),"select DFHTRA, DCDMSG, DFIDID, DTPTRA, DCDEST, DTERMI, DCDRES,DREFER, DCAPFL,substr(dcdtar, 1, 6)||'********'||substr(dcdtar, 15, 2) AS TARJPRO,substr(DCDTAR, 1, 6), DMONT1,DCPAIS from BODEGATMP/FPTLFYS where substr(DCDTAR, 1, 6)in ("&amp;B11&amp;") and DREFER&lt;&gt;''  ORDER BY DREFER,DCAPFL",IF(AND(L46=TRUE,L47=TRUE),"select DFHTRA, DCDMSG, DFIDID, DTPTRA, DCDEST, DTERMI, DCDRES,DREFER, DCAPFL,substr(dcdtar, 1, 6)||'********'||substr(dcdtar, 15, 2) AS TARJPRO,substr(DCDTAR, 1, 6), DMONT1,DCPAIS from BODEGATMP/FPTLFYS where DFIDID like '%"&amp;D4&amp;"%' AND substr(DCDTAR, 1, 6)in ("&amp;B11&amp;") ORDER BY DREFER,DCAPFL",IF(AND(L45=TRUE,L47=TRUE),"select DFHTRA, DCDMSG, DFIDID, DTPTRA, DCDEST, DTERMI, DCDRES,DREFER, DCAPFL,substr(dcdtar, 1, 6)||'********'||substr(dcdtar, 15, 2) AS TARJPRO,substr(DCDTAR, 1, 6), DMONT1,DCPAIS from BODEGATMP/FPTLFYS where DFIDID like '%"&amp;D4&amp;"%' and DREFER&lt;&gt;''  ORDER BY DREFER,DCAPFL",IF(L45=TRUE,"select DFHTRA, DCDMSG, DFIDID, DTPTRA, DCDEST, DTERMI, DCDRES,DREFER, DCAPFL,substr(dcdtar, 1, 6)||'********'||substr(dcdtar, 15, 2) AS TARJPRO,substr(DCDTAR, 1, 6), DMONT1,DCPAIS from BODEGATMP/FPTLFYS where  DREFER&lt;&gt;''  ORDER BY DREFER,DCAPFL",IF(L46=TRUE,"select DFHTRA, DCDMSG, DFIDID, DTPTRA, DCDEST, DTERMI, DCDRES,DREFER, DCAPFL,substr(dcdtar, 1, 6)||'********'||substr(dcdtar, 15, 2) AS TARJPRO,substr(DCDTAR, 1, 6), DMONT1,DCPAIS from BODEGATMP/FPTLFYS where  substr(DCDTAR, 1, 6)in ("&amp;B11&amp;")   ORDER BY DREFER,DCAPFL",IF(L47=TRUE,"select DFHTRA, DCDMSG, DFIDID, DTPTRA, DCDEST, DTERMI, DCDRES,DREFER, DCAPFL,substr(dcdtar, 1, 6)||'********'||substr(dcdtar, 15, 2) AS TARJPRO,substr(DCDTAR, 1, 6), DMONT1,DCPAIS from BODEGATMP/FPTLFYS where DFIDID like '%"&amp;D4&amp;"%'  ORDER BY DREFER,DCAPFL","select DFHTRA, DCDMSG, DFIDID, DTPTRA, DCDEST, DTERMI, DCDRES,DREFER, DCAPFL,substr(dcdtar, 1, 6)||'********'||substr(dcdtar, 15, 2) AS TARJPRO,substr(DCDTAR, 1, 6), DMONT1,DCPAIS from BODEGATMP/FPTLFYS ORDER BY DREFER,DCAPFL"))))))))</f>
        <v/>
      </c>
      <c r="I47" s="330"/>
      <c r="K47" s="34" t="s">
        <v>313</v>
      </c>
      <c r="L47" s="36" t="b">
        <v>0</v>
      </c>
    </row>
    <row r="48" spans="5:12" ht="15.5">
      <c r="E48"/>
      <c r="G48" s="37"/>
      <c r="H48" s="283"/>
    </row>
    <row r="49" spans="5:10">
      <c r="E49"/>
      <c r="G49" s="312" t="s">
        <v>142</v>
      </c>
      <c r="H49" s="284" t="str">
        <f>"SELECT * FROM SISTEMAS.PLF0100A WHERE MBANCO = "&amp;B4&amp;" AND MBINCO IN ("&amp;B11&amp;")"</f>
        <v>SELECT * FROM SISTEMAS.PLF0100A WHERE MBANCO = 08 AND MBINCO IN ('454896','454831')</v>
      </c>
      <c r="I49" s="278" t="s">
        <v>416</v>
      </c>
      <c r="J49" s="5" t="s">
        <v>627</v>
      </c>
    </row>
    <row r="50" spans="5:10">
      <c r="E50"/>
      <c r="G50" s="312"/>
      <c r="H50" s="284" t="str">
        <f>"SELECT * FROM SISTEMAS.SWFTAB08 WHERE RCDCMP = '"&amp;B4&amp;"' AND RCDBIN IN ("&amp;B11&amp;")"</f>
        <v>SELECT * FROM SISTEMAS.SWFTAB08 WHERE RCDCMP = '08' AND RCDBIN IN ('454896','454831')</v>
      </c>
      <c r="I50" s="278" t="s">
        <v>417</v>
      </c>
      <c r="J50" s="5" t="s">
        <v>628</v>
      </c>
    </row>
    <row r="51" spans="5:10">
      <c r="E51"/>
      <c r="G51" s="312"/>
      <c r="H51" s="284" t="str">
        <f>"SELECT * FROM SISTEMAS.REFTAB08 WHERE  RBINCO IN ("&amp;B11&amp;")"</f>
        <v>SELECT * FROM SISTEMAS.REFTAB08 WHERE  RBINCO IN ('454896','454831')</v>
      </c>
      <c r="I51" s="278" t="s">
        <v>418</v>
      </c>
      <c r="J51" s="5" t="s">
        <v>629</v>
      </c>
    </row>
    <row r="52" spans="5:10">
      <c r="E52"/>
      <c r="G52" s="312"/>
      <c r="H52" s="284" t="str">
        <f>"SELECT * FROM SISTEMAS.SIF0100B WHERE DCDCMP = "&amp;B4&amp;" AND DCDBIN IN ("&amp;B11&amp;")"</f>
        <v>SELECT * FROM SISTEMAS.SIF0100B WHERE DCDCMP = 08 AND DCDBIN IN ('454896','454831')</v>
      </c>
      <c r="I52" s="278" t="s">
        <v>419</v>
      </c>
      <c r="J52" s="5" t="s">
        <v>633</v>
      </c>
    </row>
    <row r="53" spans="5:10">
      <c r="E53"/>
      <c r="G53" s="312"/>
      <c r="H53" s="284" t="str">
        <f>"SELECT * FROM BASEDOS.BAFTAB40 WHERE RCDCMP = "&amp;B4&amp;" AND RCDBIN IN ("&amp;B11&amp;")"</f>
        <v>SELECT * FROM BASEDOS.BAFTAB40 WHERE RCDCMP = 08 AND RCDBIN IN ('454896','454831')</v>
      </c>
      <c r="I53" s="278" t="s">
        <v>420</v>
      </c>
      <c r="J53" s="5" t="s">
        <v>630</v>
      </c>
    </row>
    <row r="54" spans="5:10">
      <c r="E54"/>
      <c r="G54" s="312"/>
      <c r="H54" s="284" t="str">
        <f>"SELECT * FROM SISTEMAS.REFTAB23 WHERE RCDBIN IN("&amp;B11&amp;")"</f>
        <v>SELECT * FROM SISTEMAS.REFTAB23 WHERE RCDBIN IN('454896','454831')</v>
      </c>
      <c r="I54" s="278" t="s">
        <v>421</v>
      </c>
      <c r="J54" s="5" t="s">
        <v>631</v>
      </c>
    </row>
    <row r="55" spans="5:10">
      <c r="E55"/>
      <c r="G55" s="312"/>
      <c r="H55" s="284" t="str">
        <f>"SELECT * FROM BASEDOS/VDF0304E WHERE BINCOD IN ("&amp;B11&amp;")"</f>
        <v>SELECT * FROM BASEDOS/VDF0304E WHERE BINCOD IN ('454896','454831')</v>
      </c>
      <c r="I55" s="278" t="s">
        <v>626</v>
      </c>
      <c r="J55" s="5" t="s">
        <v>632</v>
      </c>
    </row>
    <row r="56" spans="5:10" ht="15.5">
      <c r="E56"/>
      <c r="G56" s="37"/>
      <c r="H56" s="283"/>
    </row>
    <row r="57" spans="5:10" ht="201" customHeight="1">
      <c r="E57"/>
      <c r="G57" s="90" t="s">
        <v>143</v>
      </c>
      <c r="H57" s="286" t="s">
        <v>651</v>
      </c>
      <c r="I57" s="279" t="s">
        <v>557</v>
      </c>
    </row>
    <row r="58" spans="5:10">
      <c r="E58"/>
      <c r="G58" s="272" t="s">
        <v>143</v>
      </c>
      <c r="H58" s="287" t="s">
        <v>566</v>
      </c>
      <c r="I58" s="278" t="s">
        <v>567</v>
      </c>
    </row>
    <row r="59" spans="5:10" ht="15.5">
      <c r="E59"/>
      <c r="G59" s="37"/>
      <c r="H59" s="283"/>
    </row>
    <row r="60" spans="5:10" ht="29">
      <c r="E60"/>
      <c r="G60" s="319" t="s">
        <v>144</v>
      </c>
      <c r="H60" s="286" t="str">
        <f>"SELECT * FROM CANJE/CAFCNTRL  WHERE TANOCA =' "&amp;MID(B5,3,2)&amp;"' AND TMESCA =' "&amp;MID(B5,5,2)&amp;"' AND TDIACA = '"&amp;MID(B5,7,2)+1&amp;"' ORDER BY TFECHA desc"</f>
        <v>SELECT * FROM CANJE/CAFCNTRL  WHERE TANOCA =' 23' AND TMESCA =' 06' AND TDIACA = '10' ORDER BY TFECHA desc</v>
      </c>
      <c r="I60" s="331" t="s">
        <v>145</v>
      </c>
    </row>
    <row r="61" spans="5:10">
      <c r="E61" s="15"/>
      <c r="G61" s="319"/>
      <c r="H61" s="286" t="str">
        <f>"UPDATE  BODEGATMP/CAFCNTRLYS  SET TANOCA="&amp;MID(B5,3,2)&amp;", TMESCA="&amp;MID(B5,5,2)&amp;", TDIACA="&amp;MID(B5,7,2)+1&amp;", TFECHA="&amp;MID(B5,3,7)+1&amp;""</f>
        <v>UPDATE  BODEGATMP/CAFCNTRLYS  SET TANOCA=23, TMESCA=06, TDIACA=10, TFECHA=230610</v>
      </c>
      <c r="I61" s="331"/>
    </row>
    <row r="62" spans="5:10">
      <c r="E62"/>
      <c r="G62" s="319"/>
      <c r="H62" s="286" t="s">
        <v>125</v>
      </c>
      <c r="I62" s="331"/>
    </row>
    <row r="63" spans="5:10" ht="15.5">
      <c r="E63"/>
      <c r="G63" s="37"/>
      <c r="H63" s="283"/>
    </row>
    <row r="64" spans="5:10" ht="29">
      <c r="E64"/>
      <c r="G64" s="90" t="s">
        <v>149</v>
      </c>
      <c r="H64" s="286" t="str">
        <f>"CHGJOB DATE("&amp;TEXT(MID(B5,7,2)+1,"dd")&amp;MID(B5,5,2)&amp;MID(B5,3,2)&amp;")"</f>
        <v>CHGJOB DATE(100623)</v>
      </c>
      <c r="I64" s="279" t="s">
        <v>559</v>
      </c>
    </row>
    <row r="65" spans="1:21" ht="15.5">
      <c r="E65"/>
      <c r="G65" s="37"/>
      <c r="H65" s="283"/>
    </row>
    <row r="66" spans="1:21" ht="15.5">
      <c r="E66"/>
      <c r="G66" s="89" t="s">
        <v>150</v>
      </c>
      <c r="H66" s="288" t="s">
        <v>127</v>
      </c>
    </row>
    <row r="67" spans="1:21" ht="15.5">
      <c r="E67"/>
      <c r="G67" s="37"/>
      <c r="H67" s="283"/>
    </row>
    <row r="68" spans="1:21" ht="15.5">
      <c r="E68"/>
      <c r="G68" s="89" t="s">
        <v>128</v>
      </c>
      <c r="H68" s="285" t="s">
        <v>128</v>
      </c>
    </row>
    <row r="69" spans="1:21" ht="15.5">
      <c r="E69"/>
      <c r="G69" s="37"/>
      <c r="H69" s="283"/>
    </row>
    <row r="70" spans="1:21" ht="33" customHeight="1">
      <c r="E70"/>
      <c r="G70" s="89" t="s">
        <v>151</v>
      </c>
      <c r="H70" s="289" t="str">
        <f>"CALL PGM(ELECTRON/CEC1840) PARM('"&amp;MID(B5,3,2)&amp;MID(B5,5,2)&amp;TEXT(MID(B5,7,2)+1,"dd")&amp;"' 'N' 'N' '"&amp;REPT(0,4-LEN(C4))&amp;C4&amp;"' '"&amp;REPT(0,4-LEN(B4))&amp;B4&amp;"' '"&amp;REPT(0,4-LEN(D4))&amp;D4&amp;"' '"&amp;REPT(0,4-LEN(C4))&amp;C4&amp;"' '"&amp;REPT(0,4-LEN(B4))&amp;B4&amp;"' '"&amp;REPT(0,4-LEN(D4))&amp;D4&amp;"')"</f>
        <v>CALL PGM(ELECTRON/CEC1840) PARM('230610' 'N' 'N' '0000' '0008' '0000' '0000' '0008' '0000')</v>
      </c>
      <c r="I70" s="279" t="s">
        <v>568</v>
      </c>
    </row>
    <row r="71" spans="1:21">
      <c r="A71" s="15"/>
      <c r="B71" s="15"/>
      <c r="C71" s="15"/>
      <c r="D71" s="15"/>
      <c r="F71" s="15"/>
      <c r="G71" s="15"/>
      <c r="H71" s="283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</row>
    <row r="72" spans="1:21" ht="30" customHeight="1">
      <c r="A72" s="15"/>
      <c r="B72" s="15"/>
      <c r="C72" s="15"/>
      <c r="D72" s="15"/>
      <c r="G72" s="271" t="s">
        <v>564</v>
      </c>
      <c r="H72" s="290" t="str">
        <f>"CALL PGM(BASEDOS/GENCCAIT) PARM('00"&amp;B4&amp;"' 'TD00"&amp;B4&amp;"')"</f>
        <v>CALL PGM(BASEDOS/GENCCAIT) PARM('0008' 'TD0008')</v>
      </c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</row>
    <row r="73" spans="1:21" ht="30" customHeight="1">
      <c r="A73" s="15"/>
      <c r="B73" s="15"/>
      <c r="C73" s="15"/>
      <c r="D73" s="15"/>
      <c r="G73" s="39"/>
      <c r="H73" s="290" t="str">
        <f>IF(C4&lt;&gt;"00","CALL PGM(BASEDOS/GENCCAIT) PARM('00"&amp;C4&amp;"' 'TD00"&amp;C4&amp;"')","")</f>
        <v/>
      </c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</row>
    <row r="74" spans="1:21" ht="30" customHeight="1">
      <c r="A74" s="15"/>
      <c r="B74" s="15"/>
      <c r="C74" s="15"/>
      <c r="D74" s="15"/>
      <c r="G74" s="39"/>
      <c r="H74" s="290" t="str">
        <f>IF(D4&lt;&gt;"00","CALL PGM(BASEDOS/GENCCAIT) PARM('00"&amp;D4&amp;"' 'TD00"&amp;D4&amp;"')","")</f>
        <v/>
      </c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</row>
    <row r="75" spans="1:21" ht="15.5">
      <c r="A75" s="15"/>
      <c r="B75" s="15"/>
      <c r="C75" s="15"/>
      <c r="D75" s="15"/>
      <c r="G75" s="52"/>
      <c r="H75" s="283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</row>
    <row r="76" spans="1:21" ht="58">
      <c r="E76" s="85"/>
      <c r="G76" s="271" t="s">
        <v>560</v>
      </c>
      <c r="H76" s="285" t="str">
        <f>"UPDATE TD"&amp;REPT(0,4-LEN(B4))&amp;B4&amp;"/EXTRACTO                                 
SET EXTRACTO =
 SUBSTR(EXTRACTO, 1, 5)||"&amp;MID(B5,3,2)&amp;MID(B5,5,2)&amp;TEXT(MID(B5,7,2)+1,"dd")&amp;"||SUBSTR(EXTRACTO, 12, 41) 
   WHERE SUBSTR(EXTRACTO, 1, 1)='/'"</f>
        <v>UPDATE TD0008/EXTRACTO                                 
SET EXTRACTO =
 SUBSTR(EXTRACTO, 1, 5)||230610||SUBSTR(EXTRACTO, 12, 41) 
   WHERE SUBSTR(EXTRACTO, 1, 1)='/'</v>
      </c>
    </row>
    <row r="77" spans="1:21" ht="60" customHeight="1">
      <c r="E77" s="85"/>
      <c r="G77" s="39"/>
      <c r="H77" s="285" t="str">
        <f>IF(C4="00","","UPDATE TD"&amp;REPT(0,4-LEN(C4))&amp;C4&amp;"/EXTRACTO                                 
SET EXTRACTO =
 SUBSTR(EXTRACTO, 1, 5)||"&amp;MID(B5,3,2)&amp;MID(B5,5,2)&amp;TEXT(MID(B5,7,2)+1,"dd")&amp;"||SUBSTR(EXTRACTO, 12, 41) 
   WHERE SUBSTR(EXTRACTO, 1, 1)='/'")</f>
        <v/>
      </c>
    </row>
    <row r="78" spans="1:21" ht="15.5">
      <c r="E78" s="85"/>
      <c r="G78" s="39"/>
      <c r="H78" s="285" t="str">
        <f>IF(D4="00","","UPDATE TD"&amp;REPT(0,4-LEN(D4))&amp;D4&amp;"/EXTRACTO                                 
SET EXTRACTO =
 SUBSTR(EXTRACTO, 1, 5)||"&amp;MID(B5,3,2)&amp;MID(B5,5,2)&amp;TEXT(MID(B5,7,2)+1,"dd")&amp;"||SUBSTR(EXTRACTO, 12, 41) 
   WHERE SUBSTR(EXTRACTO, 1, 1)='/'")</f>
        <v/>
      </c>
      <c r="J78" s="24"/>
    </row>
    <row r="79" spans="1:21">
      <c r="E79" s="85"/>
      <c r="H79" s="283"/>
      <c r="J79" s="24"/>
    </row>
    <row r="80" spans="1:21" ht="15.5">
      <c r="E80"/>
      <c r="G80" s="38" t="s">
        <v>640</v>
      </c>
      <c r="H80" s="291" t="s">
        <v>652</v>
      </c>
    </row>
    <row r="81" spans="1:21" ht="15" customHeight="1">
      <c r="E81"/>
      <c r="G81" s="319" t="s">
        <v>581</v>
      </c>
      <c r="H81" s="285" t="str">
        <f>IF(B12=TRUE,IF(H80="FIID1","WRKF FILE(TD"&amp;REPT(0,4-LEN(B4))&amp;B4&amp;"/EXTRACTO)",IF(H80="FIID2","WRKF FILE(TD"&amp;REPT(0,4-LEN(C4))&amp;C4&amp;"/EXTRACTO)",IF(H80="FIID3","WRKF FILE(TD"&amp;REPT(0,4-LEN(D4))&amp;D4&amp;"/EXTRACTO)",IF(H80="","","")))))</f>
        <v>WRKF FILE(TD0008/EXTRACTO)</v>
      </c>
      <c r="I81" s="280" t="s">
        <v>582</v>
      </c>
    </row>
    <row r="82" spans="1:21" ht="15" customHeight="1">
      <c r="E82"/>
      <c r="G82" s="319"/>
      <c r="H82" s="285" t="str">
        <f>IF(B13=TRUE,IF(H80="FIID1","WRKF FILE(TD"&amp;REPT(0,4-LEN(B4))&amp;B4&amp;"/CANJEETX)",IF(H80="FIID2","WRKF FILE(TD"&amp;REPT(0,4-LEN(C4))&amp;C4&amp;"/CANJEETX)",IF(H80="FIID3","WRKF FILE(TD"&amp;REPT(0,4-LEN(D4))&amp;D4&amp;"/CANJEETX)",IF(H80="","","")))),"")</f>
        <v>WRKF FILE(TD0008/CANJEETX)</v>
      </c>
      <c r="I82" s="280" t="s">
        <v>130</v>
      </c>
    </row>
    <row r="83" spans="1:21" ht="15" customHeight="1">
      <c r="E83"/>
      <c r="G83" s="319"/>
      <c r="H83" s="285" t="str">
        <f>IF(B15=TRUE,IF(H80="FIID1","WRKF FILE(TD"&amp;REPT(0,4-LEN(B4))&amp;B4&amp;"/DEPOSTX)",IF(H80="FIID2","WRKF FILE(TD"&amp;REPT(0,4-LEN(C4))&amp;C4&amp;"/DEPOSTX)",IF(H80="FIID3","WRKF FILE(TD"&amp;REPT(0,4-LEN(D4))&amp;D4&amp;"/DEPOSTX)",IF(H80="","","")))),"")</f>
        <v>WRKF FILE(TD0008/DEPOSTX)</v>
      </c>
      <c r="I83" s="280" t="s">
        <v>131</v>
      </c>
    </row>
    <row r="84" spans="1:21" ht="15" customHeight="1">
      <c r="E84"/>
      <c r="G84" s="319"/>
      <c r="H84" s="285" t="str">
        <f>IF(B16=TRUE,IF(H80="FIID1","WRKF FILE(TD"&amp;REPT(0,4-LEN(B4))&amp;B4&amp;"/DEPOSADTX)",IF(H80="FIID2","WRKF FILE(TD"&amp;REPT(0,4-LEN(C4))&amp;C4&amp;"/DEPOSADTX)",IF(H80="FIID3","WRKF FILE(TD"&amp;REPT(0,4-LEN(D4))&amp;D4&amp;"/DEPOSADTX)"))),"")</f>
        <v/>
      </c>
      <c r="I84" s="280" t="s">
        <v>509</v>
      </c>
    </row>
    <row r="85" spans="1:21" ht="15" customHeight="1">
      <c r="E85"/>
      <c r="G85" s="39"/>
      <c r="H85" s="285" t="str">
        <f>IF(B14=TRUE,IF(H80="FIID1","WRKF FILE(TD"&amp;REPT(0,4-LEN(B4))&amp;B4&amp;"/CANJEITX)",IF(H80="FIID2","WRKF FILE(TD"&amp;REPT(0,4-LEN(C4))&amp;C4&amp;"/CANJEITX)",IF(H80="FIID3","WRKF FILE(TD"&amp;REPT(0,4-LEN(D4))&amp;D4&amp;"/CANJEITX)",IF(H80="","","")))),"")</f>
        <v>WRKF FILE(TD0008/CANJEITX)</v>
      </c>
      <c r="I85" s="280" t="s">
        <v>660</v>
      </c>
    </row>
    <row r="86" spans="1:21" ht="15" customHeight="1">
      <c r="E86"/>
      <c r="H86" s="283"/>
      <c r="I86" s="2"/>
    </row>
    <row r="87" spans="1:21" ht="15.5">
      <c r="E87"/>
      <c r="G87" s="38" t="s">
        <v>640</v>
      </c>
      <c r="H87" s="291" t="s">
        <v>652</v>
      </c>
      <c r="J87" s="3"/>
    </row>
    <row r="88" spans="1:21" ht="15" customHeight="1">
      <c r="E88"/>
      <c r="G88" s="311" t="s">
        <v>153</v>
      </c>
      <c r="H88" s="285" t="str">
        <f>IF(B12=TRUE,IF(H87="FIID1","GASFTPSEND DTPPRO('EXTRA_TEST') DCDCMP('"&amp;REPT(0,4-LEN(B4))&amp;B4&amp;"')",IF(H87="FIID2","GASFTPSEND DTPPRO('EXTRA_TEST') DCDCMP('"&amp;REPT(0,4-LEN(C4))&amp;C4&amp;"')",IF(H87="FIID3","GASFTPSEND DTPPRO('EXTRA_TEST') DCDCMP('"&amp;REPT(0,4-LEN(D4))&amp;D4&amp;"')",IF(H87="","","")))))</f>
        <v>GASFTPSEND DTPPRO('EXTRA_TEST') DCDCMP('0008')</v>
      </c>
      <c r="I88" s="280" t="s">
        <v>582</v>
      </c>
    </row>
    <row r="89" spans="1:21" ht="15" customHeight="1">
      <c r="E89"/>
      <c r="G89" s="312"/>
      <c r="H89" s="285" t="str">
        <f>IF(B13=TRUE,IF(H87="FIID1","GASFTPSEND DTPPRO('CELEC_TEST') DCDCMP('"&amp;REPT(0,4-LEN(B4))&amp;B4&amp;"')",IF(H87="FIID2","GASFTPSEND DTPPRO('CELEC_TEST') DCDCMP('"&amp;REPT(0,4-LEN(C4))&amp;C4&amp;"')",IF(H87="FIID3","GASFTPSEND DTPPRO('CELEC_TEST') DCDCMP('"&amp;REPT(0,4-LEN(D4))&amp;D4&amp;"')",IF(H80="","","")))))</f>
        <v>GASFTPSEND DTPPRO('CELEC_TEST') DCDCMP('0008')</v>
      </c>
      <c r="I89" s="280" t="s">
        <v>130</v>
      </c>
    </row>
    <row r="90" spans="1:21" ht="15" customHeight="1">
      <c r="E90"/>
      <c r="G90" s="312"/>
      <c r="H90" s="285" t="str">
        <f>IF(B15=TRUE,IF(H87="FIID1","GASFTPSEND DTPPRO('DELEC_TEST') DCDCMP('"&amp;REPT(0,4-LEN(B4))&amp;B4&amp;"')",IF(H87="FIID2","GASFTPSEND DTPPRO('DELEC_TEST') DCDCMP('"&amp;REPT(0,4-LEN(C4))&amp;C4&amp;"')",IF(H87="FIID3","GASFTPSEND DTPPRO('DELEC_TEST') DCDCMP('"&amp;REPT(0,4-LEN(D4))&amp;D4&amp;"')",IF(H80="","","")))))</f>
        <v>GASFTPSEND DTPPRO('DELEC_TEST') DCDCMP('0008')</v>
      </c>
      <c r="I90" s="280" t="s">
        <v>131</v>
      </c>
    </row>
    <row r="91" spans="1:21" ht="15.5">
      <c r="A91" s="15"/>
      <c r="B91" s="15"/>
      <c r="C91" s="15"/>
      <c r="D91" s="15"/>
      <c r="E91" s="52"/>
      <c r="F91" s="15"/>
      <c r="G91" s="312"/>
      <c r="H91" s="285" t="str">
        <f>IF(B16=TRUE,IF(H87="FIID1","GASFTPSEND DTPPRO('DEADE_TEST') DCDCMP('"&amp;REPT(0,4-LEN(B4))&amp;B4&amp;"')",IF(H87="FIID2","GASFTPSEND DTPPRO('DEADE_TEST') DCDCMP('"&amp;REPT(0,4-LEN(C4))&amp;C4&amp;"')",IF(H87="FIID3","GASFTPSEND DTPPRO('DEADE_TEST') DCDCMP('"&amp;REPT(0,4-LEN(D4))&amp;D4&amp;"')"))),"")</f>
        <v/>
      </c>
      <c r="I91" s="280" t="s">
        <v>509</v>
      </c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</row>
    <row r="92" spans="1:21" ht="15" customHeight="1">
      <c r="A92" s="15"/>
      <c r="B92" s="15"/>
      <c r="C92" s="15"/>
      <c r="D92" s="15"/>
      <c r="E92" s="52"/>
      <c r="F92" s="15"/>
      <c r="G92" s="312"/>
      <c r="H92" s="285" t="str">
        <f>IF(B14=TRUE,IF(H87="FIID1","GASFTPSEND DTPPRO(CINTE_TEST) DCDCMP('"&amp;REPT(0,4-LEN(B4))&amp;B4&amp;"')",IF(H87="FIID2","GASFTPSEND DTPPRO(CINTE_TEST) DCDCMP('"&amp;REPT(0,4-LEN(C4))&amp;C4&amp;"')",IF(H87="FIID3","GASFTPSEND DTPPRO(CINTE_TEST) DCDCMP('"&amp;REPT(0,4-LEN(D4))&amp;D4&amp;"')"))),"")</f>
        <v>GASFTPSEND DTPPRO(CINTE_TEST) DCDCMP('0008')</v>
      </c>
      <c r="I92" s="280" t="s">
        <v>660</v>
      </c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</row>
    <row r="93" spans="1:21" ht="15.5">
      <c r="A93" s="15"/>
      <c r="B93" s="15"/>
      <c r="C93" s="15"/>
      <c r="D93" s="15"/>
      <c r="E93" s="52"/>
      <c r="F93" s="15"/>
      <c r="G93" s="15"/>
      <c r="H93" s="283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</row>
    <row r="94" spans="1:21" ht="15" customHeight="1">
      <c r="A94" s="15"/>
      <c r="B94" s="15"/>
      <c r="C94" s="15"/>
      <c r="D94" s="15"/>
      <c r="E94" s="52"/>
      <c r="F94" s="15"/>
      <c r="G94" s="15"/>
      <c r="H94" s="283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</row>
    <row r="95" spans="1:21" ht="15" customHeight="1">
      <c r="A95" s="15"/>
      <c r="B95" s="15"/>
      <c r="C95" s="15"/>
      <c r="D95" s="15"/>
      <c r="E95" s="52"/>
      <c r="F95" s="15"/>
      <c r="G95" s="15"/>
      <c r="H95" s="283" t="s">
        <v>780</v>
      </c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</row>
    <row r="96" spans="1:21" ht="15" customHeight="1">
      <c r="A96" s="15"/>
      <c r="B96" s="15"/>
      <c r="C96" s="15"/>
      <c r="D96" s="15"/>
      <c r="E96" s="52"/>
      <c r="F96" s="15"/>
      <c r="G96" s="15"/>
      <c r="H96" s="283" t="s">
        <v>781</v>
      </c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</row>
    <row r="97" spans="1:21" ht="15.5">
      <c r="A97" s="15"/>
      <c r="B97" s="15"/>
      <c r="C97" s="15"/>
      <c r="D97" s="15"/>
      <c r="E97" s="52"/>
      <c r="F97" s="15"/>
      <c r="G97" s="15"/>
      <c r="H97" s="283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</row>
    <row r="98" spans="1:21" ht="29">
      <c r="A98" s="15"/>
      <c r="B98" s="15"/>
      <c r="C98" s="15"/>
      <c r="D98" s="15"/>
      <c r="E98" s="52"/>
      <c r="F98" s="15"/>
      <c r="G98" s="15"/>
      <c r="H98" s="283" t="s">
        <v>842</v>
      </c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</row>
    <row r="99" spans="1:21" ht="15.5">
      <c r="A99" s="15"/>
      <c r="B99" s="15"/>
      <c r="C99" s="15"/>
      <c r="D99" s="15"/>
      <c r="E99" s="52"/>
      <c r="F99" s="15"/>
      <c r="G99" s="15"/>
      <c r="H99" s="282" t="str">
        <f>"Sobre el tema en referencia y de acuerdo con su solicitud se confirma la ejecución de la prueba tomando el archivo de POS EPTA"&amp;MID(B5,5,4)</f>
        <v>Sobre el tema en referencia y de acuerdo con su solicitud se confirma la ejecución de la prueba tomando el archivo de POS EPTA0609</v>
      </c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</row>
    <row r="100" spans="1:21" ht="29">
      <c r="A100" s="15"/>
      <c r="B100" s="15"/>
      <c r="C100" s="15"/>
      <c r="D100" s="15"/>
      <c r="E100" s="52"/>
      <c r="F100" s="15"/>
      <c r="G100" s="15"/>
      <c r="H100" s="283" t="s">
        <v>843</v>
      </c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</row>
    <row r="101" spans="1:21" ht="15.5">
      <c r="A101" s="15"/>
      <c r="B101" s="15"/>
      <c r="C101" s="15"/>
      <c r="D101" s="15"/>
      <c r="E101" s="52"/>
      <c r="F101" s="15"/>
      <c r="G101" s="15"/>
      <c r="H101" s="283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</row>
    <row r="102" spans="1:21" ht="15" customHeight="1">
      <c r="A102" s="15"/>
      <c r="B102" s="15"/>
      <c r="C102" s="15"/>
      <c r="D102" s="15"/>
      <c r="E102" s="52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</row>
    <row r="103" spans="1:21" ht="15" customHeight="1">
      <c r="A103" s="15"/>
      <c r="B103" s="15"/>
      <c r="C103" s="15"/>
      <c r="D103" s="15"/>
      <c r="E103" s="52"/>
      <c r="F103" s="15"/>
      <c r="G103" s="15"/>
      <c r="H103" s="292" t="str">
        <f>"Extracto                     X:\PRUEBAS1\"&amp;B21&amp;"ENVIAR\FILES\EXTTPRU"&amp;TEXT((MID($B$5,7,2)+1),"DD")&amp;"."&amp;TEXT((MID($B$5,5,2)),"DD")</f>
        <v>Extracto                     X:\PRUEBAS1\COOPCENTRAL\ENVIAR\FILES\EXTTPRU10.06</v>
      </c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</row>
    <row r="104" spans="1:21" ht="15" customHeight="1">
      <c r="A104" s="15"/>
      <c r="B104" s="15"/>
      <c r="C104" s="15"/>
      <c r="D104" s="15"/>
      <c r="E104" s="52"/>
      <c r="F104" s="15"/>
      <c r="G104" s="15"/>
      <c r="H104" s="292" t="str">
        <f>"Canje Electrónico            X:\PRUEBAS1\"&amp;B21&amp;"ENVIAR\FILES\CAETPRU"&amp;TEXT((MID($B$5,7,2)+1),"DD")&amp;"."&amp;TEXT((MID($B$5,5,2)),"DD")</f>
        <v>Canje Electrónico            X:\PRUEBAS1\COOPCENTRAL\ENVIAR\FILES\CAETPRU10.06</v>
      </c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</row>
    <row r="105" spans="1:21" ht="15.5">
      <c r="A105" s="15"/>
      <c r="B105" s="15"/>
      <c r="C105" s="15"/>
      <c r="D105" s="15"/>
      <c r="E105" s="52"/>
      <c r="F105" s="15"/>
      <c r="G105" s="15"/>
      <c r="H105" s="292" t="str">
        <f>"depósitos                    X:\PRUEBAS1\"&amp;B21&amp;"ENVIAR\FILES\DEPOPRU"&amp;TEXT((MID($B$5,7,2)+1),"DD")&amp;"."&amp;TEXT((MID($B$5,5,2)),"DD")</f>
        <v>depósitos                    X:\PRUEBAS1\COOPCENTRAL\ENVIAR\FILES\DEPOPRU10.06</v>
      </c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</row>
    <row r="106" spans="1:21" ht="15.5">
      <c r="A106" s="15"/>
      <c r="B106" s="15"/>
      <c r="C106" s="15"/>
      <c r="D106" s="15"/>
      <c r="E106" s="52"/>
      <c r="F106" s="15"/>
      <c r="G106" s="15"/>
      <c r="H106" s="292" t="str">
        <f>"Canje Int (simulado)         X:\PRUEBAS1\"&amp;B21&amp;"ENVIAR\FILES\CAITPRU"&amp;TEXT((MID($B$5,7,2)+1),"DD")&amp;"."&amp;TEXT((MID($B$5,5,2)),"DD")</f>
        <v>Canje Int (simulado)         X:\PRUEBAS1\COOPCENTRAL\ENVIAR\FILES\CAITPRU10.06</v>
      </c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</row>
    <row r="107" spans="1:21" ht="15.5">
      <c r="A107" s="15"/>
      <c r="B107" s="15"/>
      <c r="C107" s="15"/>
      <c r="D107" s="15"/>
      <c r="E107" s="52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</row>
    <row r="108" spans="1:21" ht="15">
      <c r="A108" s="15"/>
      <c r="B108" s="15"/>
      <c r="C108" s="15"/>
      <c r="D108" s="15"/>
      <c r="H108" s="292" t="e">
        <f>"Extracto                     X:\PRUEBAS1\"&amp;C21&amp;"ENVIAR\FILES\EXTTPRU"&amp;TEXT((MID($B$5,7,2)+1),"DD")&amp;"."&amp;TEXT((MID($B$5,5,2)),"DD")</f>
        <v>#N/A</v>
      </c>
      <c r="T108" s="15"/>
      <c r="U108" s="15"/>
    </row>
    <row r="109" spans="1:21" ht="15">
      <c r="A109" s="15"/>
      <c r="B109" s="15"/>
      <c r="C109" s="15"/>
      <c r="D109" s="15"/>
      <c r="H109" s="292" t="e">
        <f>"Canje Electronico            X:\PRUEBAS1\"&amp;C21&amp;"ENVIAR\FILES\CAETPRU"&amp;TEXT((MID($B$5,7,2)+1),"DD")&amp;"."&amp;TEXT((MID($B$5,5,2)),"DD")</f>
        <v>#N/A</v>
      </c>
      <c r="T109" s="15"/>
      <c r="U109" s="15"/>
    </row>
    <row r="110" spans="1:21" ht="15">
      <c r="A110" s="15"/>
      <c r="B110" s="15"/>
      <c r="C110" s="15"/>
      <c r="D110" s="15"/>
      <c r="H110" s="292" t="e">
        <f>"Depositos                    X:\PRUEBAS1\"&amp;C21&amp;"ENVIAR\FILES\DEPOPRU"&amp;TEXT((MID($B$5,7,2)+1),"DD")&amp;"."&amp;TEXT((MID($B$5,5,2)),"DD")</f>
        <v>#N/A</v>
      </c>
      <c r="T110" s="15"/>
      <c r="U110" s="15"/>
    </row>
    <row r="111" spans="1:21" ht="15">
      <c r="A111" s="15"/>
      <c r="B111" s="15"/>
      <c r="C111" s="15"/>
      <c r="D111" s="15"/>
      <c r="H111" s="292" t="e">
        <f>"Canje Int (simulado)         X:\PRUEBAS1\"&amp;C21&amp;"ENVIAR\FILES\CAITPRU"&amp;TEXT((MID($B$5,7,2)+1),"DD")&amp;"."&amp;TEXT((MID($B$5,5,2)),"DD")</f>
        <v>#N/A</v>
      </c>
      <c r="T111" s="15"/>
      <c r="U111" s="15"/>
    </row>
    <row r="112" spans="1:21">
      <c r="A112" s="15"/>
      <c r="B112" s="15"/>
      <c r="C112" s="15"/>
      <c r="D112" s="15"/>
      <c r="H112"/>
      <c r="T112" s="15"/>
      <c r="U112" s="15"/>
    </row>
    <row r="113" spans="1:21" ht="15">
      <c r="A113" s="15"/>
      <c r="B113" s="15"/>
      <c r="C113" s="15"/>
      <c r="D113" s="15"/>
      <c r="H113" s="292" t="e">
        <f>"Extracto                     X:\PRUEBAS1\"&amp;D21&amp;"\ENVIAR\FILES\EXTTPRU"&amp;TEXT((MID($B$5,7,2)+1),"DD")&amp;"."&amp;TEXT((MID($B$5,5,2)),"DD")</f>
        <v>#N/A</v>
      </c>
      <c r="T113" s="15"/>
      <c r="U113" s="15"/>
    </row>
    <row r="114" spans="1:21" ht="15">
      <c r="A114" s="15"/>
      <c r="B114" s="15"/>
      <c r="C114" s="15"/>
      <c r="D114" s="15"/>
      <c r="H114" s="292" t="e">
        <f>"Canje Electronico            X:\PRUEBAS1\"&amp;D21&amp;"\ENVIAR\FILES\CAETPRU"&amp;TEXT((MID($B$5,7,2)+1),"DD")&amp;"."&amp;TEXT((MID($B$5,5,2)),"DD")</f>
        <v>#N/A</v>
      </c>
      <c r="T114" s="15"/>
      <c r="U114" s="15"/>
    </row>
    <row r="115" spans="1:21" ht="15">
      <c r="A115" s="15"/>
      <c r="B115" s="15"/>
      <c r="C115" s="15"/>
      <c r="D115" s="15"/>
      <c r="H115" s="292" t="e">
        <f>"Depositos                    X:\PRUEBAS1\"&amp;D21&amp;"ENVIAR\FILES\DEPOPRU"&amp;TEXT((MID($B$5,7,2)+1),"DD")&amp;"."&amp;TEXT((MID($B$5,5,2)),"DD")</f>
        <v>#N/A</v>
      </c>
      <c r="T115" s="15"/>
      <c r="U115" s="15"/>
    </row>
    <row r="116" spans="1:21" ht="15">
      <c r="A116" s="15"/>
      <c r="B116" s="15"/>
      <c r="C116" s="15"/>
      <c r="D116" s="15"/>
      <c r="H116" s="292" t="e">
        <f>"Canje Int (simulado)         X:\PRUEBAS1\"&amp;D21&amp;"ENVIAR\FILES\CAITPRU"&amp;TEXT((MID($B$5,7,2)+1),"DD")&amp;"."&amp;TEXT((MID($B$5,5,2)),"DD")</f>
        <v>#N/A</v>
      </c>
      <c r="T116" s="15"/>
      <c r="U116" s="15"/>
    </row>
    <row r="117" spans="1:21">
      <c r="A117" s="15"/>
      <c r="B117" s="15"/>
      <c r="C117" s="15"/>
      <c r="D117" s="15"/>
      <c r="H117"/>
      <c r="T117" s="15"/>
      <c r="U117" s="15"/>
    </row>
    <row r="118" spans="1:21">
      <c r="A118" s="15"/>
      <c r="B118" s="15"/>
      <c r="C118" s="15"/>
      <c r="D118" s="15"/>
      <c r="H118"/>
      <c r="T118" s="15"/>
      <c r="U118" s="15"/>
    </row>
    <row r="119" spans="1:21">
      <c r="A119" s="15"/>
      <c r="B119" s="15"/>
      <c r="C119" s="15"/>
      <c r="D119" s="15"/>
      <c r="T119" s="15"/>
      <c r="U119" s="15"/>
    </row>
  </sheetData>
  <mergeCells count="35">
    <mergeCell ref="I41:I43"/>
    <mergeCell ref="I45:I47"/>
    <mergeCell ref="G49:G55"/>
    <mergeCell ref="G60:G62"/>
    <mergeCell ref="I60:I62"/>
    <mergeCell ref="H24:H32"/>
    <mergeCell ref="I24:L24"/>
    <mergeCell ref="I25:L25"/>
    <mergeCell ref="I26:L26"/>
    <mergeCell ref="I27:L27"/>
    <mergeCell ref="I28:L28"/>
    <mergeCell ref="I29:L29"/>
    <mergeCell ref="I30:L30"/>
    <mergeCell ref="I31:L31"/>
    <mergeCell ref="I32:L32"/>
    <mergeCell ref="H15:H18"/>
    <mergeCell ref="B16:D16"/>
    <mergeCell ref="B17:D17"/>
    <mergeCell ref="B18:D18"/>
    <mergeCell ref="B14:D14"/>
    <mergeCell ref="H7:H10"/>
    <mergeCell ref="B11:D11"/>
    <mergeCell ref="H11:H13"/>
    <mergeCell ref="B12:D12"/>
    <mergeCell ref="B13:D13"/>
    <mergeCell ref="G81:G84"/>
    <mergeCell ref="G88:G92"/>
    <mergeCell ref="B1:D1"/>
    <mergeCell ref="B5:D5"/>
    <mergeCell ref="G7:G18"/>
    <mergeCell ref="B15:D15"/>
    <mergeCell ref="B19:D19"/>
    <mergeCell ref="B20:D20"/>
    <mergeCell ref="G24:G32"/>
    <mergeCell ref="G34:G37"/>
  </mergeCells>
  <conditionalFormatting sqref="B6:D10">
    <cfRule type="cellIs" dxfId="2" priority="1" operator="greaterThan">
      <formula>0</formula>
    </cfRule>
    <cfRule type="cellIs" dxfId="1" priority="2" operator="lessThan">
      <formula>1</formula>
    </cfRule>
  </conditionalFormatting>
  <dataValidations disablePrompts="1" count="1">
    <dataValidation type="list" allowBlank="1" showInputMessage="1" showErrorMessage="1" sqref="B2:D2" xr:uid="{ACC2145F-024C-478F-AD7D-2E246C359A3B}">
      <formula1>NOMBRE_BANCO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2" r:id="rId4" name="Check Box 10">
              <controlPr defaultSize="0" autoFill="0" autoLine="0" autoPict="0">
                <anchor moveWithCells="1">
                  <from>
                    <xdr:col>9</xdr:col>
                    <xdr:colOff>57150</xdr:colOff>
                    <xdr:row>70</xdr:row>
                    <xdr:rowOff>0</xdr:rowOff>
                  </from>
                  <to>
                    <xdr:col>9</xdr:col>
                    <xdr:colOff>298450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3" r:id="rId5" name="Check Box 11">
              <controlPr defaultSize="0" autoFill="0" autoLine="0" autoPict="0">
                <anchor moveWithCells="1">
                  <from>
                    <xdr:col>9</xdr:col>
                    <xdr:colOff>69850</xdr:colOff>
                    <xdr:row>70</xdr:row>
                    <xdr:rowOff>0</xdr:rowOff>
                  </from>
                  <to>
                    <xdr:col>9</xdr:col>
                    <xdr:colOff>317500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4" r:id="rId6" name="Check Box 12">
              <controlPr defaultSize="0" autoFill="0" autoLine="0" autoPict="0">
                <anchor moveWithCells="1">
                  <from>
                    <xdr:col>9</xdr:col>
                    <xdr:colOff>69850</xdr:colOff>
                    <xdr:row>70</xdr:row>
                    <xdr:rowOff>0</xdr:rowOff>
                  </from>
                  <to>
                    <xdr:col>9</xdr:col>
                    <xdr:colOff>317500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1" r:id="rId7" name="Check Box 39">
              <controlPr defaultSize="0" autoFill="0" autoLine="0" autoPict="0">
                <anchor moveWithCells="1">
                  <from>
                    <xdr:col>11</xdr:col>
                    <xdr:colOff>222250</xdr:colOff>
                    <xdr:row>44</xdr:row>
                    <xdr:rowOff>431800</xdr:rowOff>
                  </from>
                  <to>
                    <xdr:col>11</xdr:col>
                    <xdr:colOff>438150</xdr:colOff>
                    <xdr:row>44</xdr:row>
                    <xdr:rowOff>565150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2" r:id="rId8" name="Check Box 40">
              <controlPr defaultSize="0" autoFill="0" autoLine="0" autoPict="0">
                <anchor moveWithCells="1">
                  <from>
                    <xdr:col>11</xdr:col>
                    <xdr:colOff>184150</xdr:colOff>
                    <xdr:row>44</xdr:row>
                    <xdr:rowOff>889000</xdr:rowOff>
                  </from>
                  <to>
                    <xdr:col>11</xdr:col>
                    <xdr:colOff>438150</xdr:colOff>
                    <xdr:row>46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3" r:id="rId9" name="Check Box 41">
              <controlPr defaultSize="0" autoFill="0" autoLine="0" autoPict="0">
                <anchor moveWithCells="1">
                  <from>
                    <xdr:col>11</xdr:col>
                    <xdr:colOff>190500</xdr:colOff>
                    <xdr:row>46</xdr:row>
                    <xdr:rowOff>190500</xdr:rowOff>
                  </from>
                  <to>
                    <xdr:col>11</xdr:col>
                    <xdr:colOff>412750</xdr:colOff>
                    <xdr:row>46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4" r:id="rId10" name="Check Box 42">
              <controlPr defaultSize="0" autoFill="0" autoLine="0" autoPict="0">
                <anchor moveWithCells="1">
                  <from>
                    <xdr:col>2</xdr:col>
                    <xdr:colOff>546100</xdr:colOff>
                    <xdr:row>10</xdr:row>
                    <xdr:rowOff>488950</xdr:rowOff>
                  </from>
                  <to>
                    <xdr:col>3</xdr:col>
                    <xdr:colOff>266700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5" r:id="rId11" name="Check Box 43">
              <controlPr defaultSize="0" autoFill="0" autoLine="0" autoPict="0">
                <anchor moveWithCells="1">
                  <from>
                    <xdr:col>2</xdr:col>
                    <xdr:colOff>546100</xdr:colOff>
                    <xdr:row>11</xdr:row>
                    <xdr:rowOff>165100</xdr:rowOff>
                  </from>
                  <to>
                    <xdr:col>3</xdr:col>
                    <xdr:colOff>266700</xdr:colOff>
                    <xdr:row>13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6" r:id="rId12" name="Check Box 44">
              <controlPr defaultSize="0" autoFill="0" autoLine="0" autoPict="0">
                <anchor moveWithCells="1">
                  <from>
                    <xdr:col>2</xdr:col>
                    <xdr:colOff>546100</xdr:colOff>
                    <xdr:row>13</xdr:row>
                    <xdr:rowOff>146050</xdr:rowOff>
                  </from>
                  <to>
                    <xdr:col>3</xdr:col>
                    <xdr:colOff>266700</xdr:colOff>
                    <xdr:row>15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7" r:id="rId13" name="Check Box 45">
              <controlPr defaultSize="0" autoFill="0" autoLine="0" autoPict="0">
                <anchor moveWithCells="1">
                  <from>
                    <xdr:col>2</xdr:col>
                    <xdr:colOff>533400</xdr:colOff>
                    <xdr:row>16</xdr:row>
                    <xdr:rowOff>184150</xdr:rowOff>
                  </from>
                  <to>
                    <xdr:col>3</xdr:col>
                    <xdr:colOff>552450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8" r:id="rId14" name="Check Box 46">
              <controlPr defaultSize="0" autoFill="0" autoLine="0" autoPict="0">
                <anchor moveWithCells="1">
                  <from>
                    <xdr:col>2</xdr:col>
                    <xdr:colOff>527050</xdr:colOff>
                    <xdr:row>17</xdr:row>
                    <xdr:rowOff>171450</xdr:rowOff>
                  </from>
                  <to>
                    <xdr:col>3</xdr:col>
                    <xdr:colOff>552450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9" r:id="rId15" name="Check Box 47">
              <controlPr defaultSize="0" autoFill="0" autoLine="0" autoPict="0">
                <anchor moveWithCells="1">
                  <from>
                    <xdr:col>2</xdr:col>
                    <xdr:colOff>546100</xdr:colOff>
                    <xdr:row>15</xdr:row>
                    <xdr:rowOff>12700</xdr:rowOff>
                  </from>
                  <to>
                    <xdr:col>3</xdr:col>
                    <xdr:colOff>565150</xdr:colOff>
                    <xdr:row>16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2" r:id="rId16" name="Check Box 50">
              <controlPr defaultSize="0" autoFill="0" autoLine="0" autoPict="0">
                <anchor moveWithCells="1">
                  <from>
                    <xdr:col>2</xdr:col>
                    <xdr:colOff>546100</xdr:colOff>
                    <xdr:row>12</xdr:row>
                    <xdr:rowOff>146050</xdr:rowOff>
                  </from>
                  <to>
                    <xdr:col>3</xdr:col>
                    <xdr:colOff>266700</xdr:colOff>
                    <xdr:row>14</xdr:row>
                    <xdr:rowOff>31750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C30C4A0-4135-43F2-9E97-595D51F90981}">
          <x14:formula1>
            <xm:f>'Bancos y listas'!$K$2:$K$4</xm:f>
          </x14:formula1>
          <xm:sqref>B20</xm:sqref>
        </x14:dataValidation>
        <x14:dataValidation type="list" allowBlank="1" showInputMessage="1" showErrorMessage="1" xr:uid="{A619D384-3148-46D3-A4F1-91474422D430}">
          <x14:formula1>
            <xm:f>'Bancos y listas'!$I$2:$I$3</xm:f>
          </x14:formula1>
          <xm:sqref>E12:E15</xm:sqref>
        </x14:dataValidation>
        <x14:dataValidation type="list" allowBlank="1" showInputMessage="1" showErrorMessage="1" xr:uid="{9250F702-F189-48F0-A1CB-534B4821F849}">
          <x14:formula1>
            <xm:f>'Bancos y listas'!$R$2:$R$4</xm:f>
          </x14:formula1>
          <xm:sqref>H87 H80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5477D-38B8-471C-9A72-E127F3E338F7}">
  <sheetPr codeName="Hoja3">
    <tabColor theme="7" tint="0.39997558519241921"/>
    <pageSetUpPr autoPageBreaks="0"/>
  </sheetPr>
  <dimension ref="A1:O183"/>
  <sheetViews>
    <sheetView topLeftCell="A47" zoomScale="90" zoomScaleNormal="90" workbookViewId="0">
      <selection activeCell="A23" sqref="A23:B23"/>
    </sheetView>
  </sheetViews>
  <sheetFormatPr baseColWidth="10" defaultRowHeight="14.5"/>
  <cols>
    <col min="1" max="1" width="24.453125" bestFit="1" customWidth="1"/>
    <col min="2" max="2" width="25" bestFit="1" customWidth="1"/>
    <col min="3" max="3" width="12.1796875" bestFit="1" customWidth="1"/>
    <col min="4" max="4" width="12.1796875" customWidth="1"/>
    <col min="5" max="5" width="12.54296875" customWidth="1"/>
    <col min="6" max="6" width="37.54296875" style="58" bestFit="1" customWidth="1"/>
    <col min="7" max="7" width="97.453125" customWidth="1"/>
    <col min="8" max="8" width="22.26953125" customWidth="1"/>
    <col min="9" max="9" width="19.81640625" bestFit="1" customWidth="1"/>
    <col min="10" max="10" width="14.1796875" customWidth="1"/>
    <col min="11" max="11" width="12.453125" bestFit="1" customWidth="1"/>
    <col min="12" max="12" width="13.453125" bestFit="1" customWidth="1"/>
    <col min="13" max="13" width="12.7265625" bestFit="1" customWidth="1"/>
    <col min="14" max="14" width="13.453125" bestFit="1" customWidth="1"/>
  </cols>
  <sheetData>
    <row r="1" spans="1:8">
      <c r="A1" s="4" t="s">
        <v>136</v>
      </c>
      <c r="B1" s="4" t="s">
        <v>135</v>
      </c>
      <c r="C1" s="4" t="s">
        <v>134</v>
      </c>
      <c r="D1" s="2"/>
      <c r="E1" s="2"/>
    </row>
    <row r="2" spans="1:8">
      <c r="A2" s="4" t="s">
        <v>103</v>
      </c>
      <c r="B2" s="5" t="s">
        <v>0</v>
      </c>
      <c r="C2" s="5"/>
      <c r="D2" s="3"/>
      <c r="E2" s="3"/>
    </row>
    <row r="3" spans="1:8">
      <c r="A3" s="4" t="s">
        <v>104</v>
      </c>
      <c r="B3" s="6">
        <f>VLOOKUP(B2,'Bancos y listas'!B:C,2,FALSE)</f>
        <v>1</v>
      </c>
      <c r="C3" s="5"/>
      <c r="D3" s="3"/>
      <c r="E3" s="3"/>
    </row>
    <row r="4" spans="1:8">
      <c r="A4" s="4" t="s">
        <v>104</v>
      </c>
      <c r="B4" s="6" t="str">
        <f>REPT("0",2-LEN(B3))&amp;VLOOKUP(B2,'Bancos y listas'!B:C,2,FALSE)</f>
        <v>01</v>
      </c>
      <c r="C4" s="5"/>
      <c r="D4" s="3"/>
      <c r="E4" s="3"/>
    </row>
    <row r="5" spans="1:8">
      <c r="A5" s="4" t="s">
        <v>157</v>
      </c>
      <c r="B5" s="7">
        <v>20230602</v>
      </c>
      <c r="C5" s="5" t="s">
        <v>126</v>
      </c>
      <c r="D5" s="3"/>
      <c r="F5"/>
      <c r="H5" s="15"/>
    </row>
    <row r="6" spans="1:8">
      <c r="A6" s="8" t="s">
        <v>118</v>
      </c>
      <c r="B6" s="46">
        <v>457603</v>
      </c>
      <c r="C6" s="5"/>
      <c r="D6" s="3"/>
      <c r="F6"/>
      <c r="H6" s="15"/>
    </row>
    <row r="7" spans="1:8">
      <c r="A7" s="8" t="s">
        <v>117</v>
      </c>
      <c r="B7" s="6">
        <v>491511</v>
      </c>
      <c r="C7" s="5"/>
      <c r="D7" s="25"/>
      <c r="F7"/>
      <c r="H7" s="15"/>
    </row>
    <row r="8" spans="1:8">
      <c r="A8" s="8" t="s">
        <v>119</v>
      </c>
      <c r="B8" s="6">
        <v>403722</v>
      </c>
      <c r="C8" s="5"/>
      <c r="D8" s="3"/>
    </row>
    <row r="9" spans="1:8">
      <c r="A9" s="8" t="s">
        <v>120</v>
      </c>
      <c r="B9" s="6"/>
      <c r="C9" s="5"/>
      <c r="D9" s="3"/>
    </row>
    <row r="10" spans="1:8">
      <c r="A10" s="8" t="s">
        <v>121</v>
      </c>
      <c r="B10" s="6"/>
      <c r="C10" s="5"/>
      <c r="D10" s="3"/>
    </row>
    <row r="11" spans="1:8" ht="15" customHeight="1">
      <c r="A11" s="8" t="s">
        <v>122</v>
      </c>
      <c r="B11" s="5" t="str">
        <f>IF(B7="","'"&amp;B6&amp;"'",IF(B8="","'"&amp;B6&amp;"',"&amp;"'"&amp;B7&amp;"'",IF(B9="","'"&amp;B6&amp;"',"&amp;"'"&amp;B7&amp;"',"&amp;"'"&amp;B8&amp;"'",IF(B10="","'"&amp;B6&amp;"',"&amp;"'"&amp;B7&amp;"',"&amp;"'"&amp;B8&amp;"',"&amp;"'"&amp;B9&amp;"'",IF(B10&lt;&gt;"","'"&amp;B6&amp;"',"&amp;"'"&amp;B7&amp;"',"&amp;"'"&amp;B8&amp;"',"&amp;"'"&amp;B9&amp;"',"&amp;"'"&amp;B10&amp;"'",)))))</f>
        <v>'457603','491511','403722'</v>
      </c>
      <c r="C11" s="5"/>
      <c r="D11" s="3"/>
    </row>
    <row r="12" spans="1:8" ht="15" customHeight="1">
      <c r="A12" s="8" t="s">
        <v>158</v>
      </c>
      <c r="B12" s="7">
        <v>20230604</v>
      </c>
      <c r="C12" s="5" t="s">
        <v>126</v>
      </c>
      <c r="D12" s="3"/>
      <c r="F12"/>
      <c r="G12" s="106"/>
    </row>
    <row r="13" spans="1:8" ht="15" customHeight="1">
      <c r="A13" s="8" t="s">
        <v>159</v>
      </c>
      <c r="B13" s="5" t="s">
        <v>160</v>
      </c>
      <c r="C13" s="17"/>
      <c r="F13"/>
      <c r="G13" s="106"/>
    </row>
    <row r="14" spans="1:8" ht="15" customHeight="1">
      <c r="A14" s="8" t="s">
        <v>161</v>
      </c>
      <c r="B14" s="5" t="s">
        <v>224</v>
      </c>
      <c r="C14" s="17"/>
      <c r="F14"/>
      <c r="G14" s="106"/>
    </row>
    <row r="15" spans="1:8" ht="15" customHeight="1">
      <c r="A15" s="8" t="s">
        <v>207</v>
      </c>
      <c r="B15" s="5">
        <v>424994</v>
      </c>
      <c r="C15" s="17"/>
      <c r="F15"/>
      <c r="G15" s="106"/>
    </row>
    <row r="16" spans="1:8" ht="15" customHeight="1">
      <c r="A16" s="8" t="s">
        <v>369</v>
      </c>
      <c r="B16" s="7" t="str">
        <f ca="1">TEXT(TODAY(),"YYYYMMDD")</f>
        <v>20230831</v>
      </c>
      <c r="C16" s="5"/>
      <c r="F16"/>
      <c r="G16" s="106"/>
    </row>
    <row r="17" spans="1:9" ht="15" customHeight="1">
      <c r="A17" s="45" t="s">
        <v>129</v>
      </c>
      <c r="B17" s="50" t="b">
        <v>1</v>
      </c>
      <c r="C17" s="28"/>
      <c r="E17" s="341" t="s">
        <v>198</v>
      </c>
      <c r="F17" s="123" t="s">
        <v>139</v>
      </c>
      <c r="G17" s="102" t="str">
        <f>"CALL PGM(ELECTRON/CEC1835) PARM('B' '00"&amp;B4&amp;"')"</f>
        <v>CALL PGM(ELECTRON/CEC1835) PARM('B' '0001')</v>
      </c>
    </row>
    <row r="18" spans="1:9" ht="15" customHeight="1">
      <c r="A18" s="45" t="s">
        <v>130</v>
      </c>
      <c r="B18" s="50" t="b">
        <v>1</v>
      </c>
      <c r="C18" s="28"/>
      <c r="E18" s="341"/>
      <c r="F18"/>
      <c r="G18" s="106"/>
    </row>
    <row r="19" spans="1:9" ht="15" customHeight="1">
      <c r="A19" s="45" t="s">
        <v>131</v>
      </c>
      <c r="B19" s="50" t="b">
        <v>1</v>
      </c>
      <c r="C19" s="28"/>
      <c r="E19" s="341"/>
      <c r="F19" s="90" t="s">
        <v>138</v>
      </c>
      <c r="G19" s="17" t="s">
        <v>109</v>
      </c>
    </row>
    <row r="20" spans="1:9" ht="15" customHeight="1">
      <c r="A20" s="4" t="s">
        <v>132</v>
      </c>
      <c r="B20" s="36" t="b">
        <v>0</v>
      </c>
      <c r="C20" s="17"/>
      <c r="E20" s="341"/>
      <c r="F20"/>
      <c r="G20" s="106"/>
    </row>
    <row r="21" spans="1:9" ht="15" customHeight="1">
      <c r="A21" s="4" t="s">
        <v>133</v>
      </c>
      <c r="B21" s="36" t="b">
        <v>1</v>
      </c>
      <c r="C21" s="17"/>
      <c r="E21" s="341"/>
      <c r="F21" s="311" t="s">
        <v>140</v>
      </c>
      <c r="G21" s="102" t="str">
        <f>IF(B25=TRUE,"WRKF FILE(BODEGATMP/FPTLFYS)","")</f>
        <v>WRKF FILE(BODEGATMP/FPTLFYS)</v>
      </c>
      <c r="H21" s="115" t="s">
        <v>146</v>
      </c>
    </row>
    <row r="22" spans="1:9">
      <c r="A22" s="4" t="s">
        <v>615</v>
      </c>
      <c r="B22" s="36" t="b">
        <v>1</v>
      </c>
      <c r="C22" s="17"/>
      <c r="E22" s="341"/>
      <c r="F22" s="312"/>
      <c r="G22" s="102" t="str">
        <f>IF(B26=TRUE,"WRKF FILE(BODEGATMP/FPTLFJC)","")</f>
        <v/>
      </c>
      <c r="H22" s="116" t="s">
        <v>148</v>
      </c>
    </row>
    <row r="23" spans="1:9">
      <c r="A23" s="4" t="s">
        <v>616</v>
      </c>
      <c r="B23" s="36" t="b">
        <v>0</v>
      </c>
      <c r="C23" s="17"/>
      <c r="E23" s="341"/>
      <c r="F23" s="312"/>
      <c r="G23" s="28" t="str">
        <f>IF(B27="EASV","WRKF FILE(BODEGATMP/FTLF_YS)",IF(B27="REDEBAN","WRKF FILE(BODEGATMP/FTLF_NS)",""))</f>
        <v/>
      </c>
      <c r="H23" s="117" t="s">
        <v>604</v>
      </c>
    </row>
    <row r="24" spans="1:9">
      <c r="A24" s="4" t="s">
        <v>411</v>
      </c>
      <c r="B24" s="17"/>
      <c r="C24" s="17"/>
      <c r="E24" s="341"/>
    </row>
    <row r="25" spans="1:9">
      <c r="A25" s="91" t="s">
        <v>146</v>
      </c>
      <c r="B25" s="94" t="b">
        <v>1</v>
      </c>
      <c r="C25" s="17"/>
      <c r="E25" s="341"/>
      <c r="F25" s="109" t="s">
        <v>128</v>
      </c>
      <c r="G25" s="17" t="s">
        <v>128</v>
      </c>
    </row>
    <row r="26" spans="1:9">
      <c r="A26" s="92" t="s">
        <v>148</v>
      </c>
      <c r="B26" s="94" t="b">
        <v>0</v>
      </c>
      <c r="C26" s="17"/>
      <c r="E26" s="341"/>
    </row>
    <row r="27" spans="1:9" ht="29">
      <c r="A27" s="93" t="s">
        <v>508</v>
      </c>
      <c r="B27" s="104" t="s">
        <v>555</v>
      </c>
      <c r="C27" s="17"/>
      <c r="E27" s="341"/>
      <c r="F27" s="86" t="s">
        <v>141</v>
      </c>
      <c r="G27" s="35" t="str">
        <f>"CALL PGM(ELECTRON/CEC1835) PARM('C' '00"&amp;B4&amp;"')"</f>
        <v>CALL PGM(ELECTRON/CEC1835) PARM('C' '0001')</v>
      </c>
    </row>
    <row r="28" spans="1:9">
      <c r="A28" s="145" t="s">
        <v>595</v>
      </c>
      <c r="B28" s="146" t="s">
        <v>596</v>
      </c>
      <c r="C28" s="34"/>
      <c r="E28" s="341"/>
    </row>
    <row r="29" spans="1:9">
      <c r="B29" s="33"/>
      <c r="E29" s="341"/>
      <c r="F29" s="334" t="s">
        <v>562</v>
      </c>
      <c r="G29" s="28" t="s">
        <v>317</v>
      </c>
      <c r="H29" s="115" t="s">
        <v>146</v>
      </c>
      <c r="I29" s="47"/>
    </row>
    <row r="30" spans="1:9">
      <c r="B30" s="33"/>
      <c r="E30" s="341"/>
      <c r="F30" s="335"/>
      <c r="G30" s="28" t="s">
        <v>318</v>
      </c>
      <c r="H30" s="116" t="s">
        <v>148</v>
      </c>
      <c r="I30" s="48"/>
    </row>
    <row r="31" spans="1:9">
      <c r="B31" s="33"/>
      <c r="E31" s="341"/>
      <c r="F31" s="335"/>
      <c r="G31" s="28" t="s">
        <v>319</v>
      </c>
      <c r="H31" s="117" t="s">
        <v>147</v>
      </c>
      <c r="I31" s="48"/>
    </row>
    <row r="32" spans="1:9">
      <c r="B32" s="33"/>
      <c r="E32" s="341"/>
      <c r="F32" s="336"/>
      <c r="G32" s="28" t="s">
        <v>565</v>
      </c>
      <c r="H32" s="121" t="s">
        <v>556</v>
      </c>
      <c r="I32" s="49"/>
    </row>
    <row r="33" spans="2:12">
      <c r="B33" s="33"/>
      <c r="E33" s="341"/>
    </row>
    <row r="34" spans="2:12">
      <c r="B34" s="33"/>
      <c r="E34" s="341"/>
      <c r="F34" s="57" t="s">
        <v>116</v>
      </c>
      <c r="G34" s="17" t="s">
        <v>116</v>
      </c>
    </row>
    <row r="35" spans="2:12">
      <c r="B35" s="33"/>
      <c r="E35" s="341"/>
    </row>
    <row r="36" spans="2:12" ht="15.5">
      <c r="B36" s="33"/>
      <c r="E36" s="341"/>
      <c r="F36" s="39" t="s">
        <v>563</v>
      </c>
      <c r="G36" s="35" t="str">
        <f>IF(B27="EASV",IF(AND(L39=TRUE,L40=TRUE,L41=TRUE),"SELECT DFHTRA, DCDMSG, DCDTYP, DCCADQ, DCCEMI,substr(DCDTAR, 1, 6)||'********'||substr(DCDTAR, 15, 2) AS TARJPRO, DMONT1,DCPAIS,     
DCDRES, DCDAUT FROM BODEGATMP/FTLF_YS where DCCEMI like '%"&amp;B4&amp;"%' AND substr(DCDTAR, 1, 6)in ("&amp;B11&amp;") and DCDAUT&lt;&gt;''  ORDER BY DCDAUT",IF(AND(L39=TRUE,L40=TRUE),"SELECT DFHTRA, DCDMSG, DCDTYP, DCCADQ, DCCEMI,substr(DCDTAR, 1, 6)||'********'||substr(DCDTAR, 15, 2) AS TARJPRO, DMONT1,DCPAIS,     
DCDRES, DCDAUT FROM BODEGATMP/FTLF_YS where  substr(DCDTAR, 1, 6)in ("&amp;B11&amp;") and DCDAUT&lt;&gt;''  ORDER BY DCDAUT",IF(AND(L40=TRUE,L41=TRUE),"SELECT DFHTRA, DCDMSG, DCDTYP, DCCADQ, DCCEMI,substr(DCDTAR, 1, 6)||'********'||substr(DCDTAR, 15, 2) AS TARJPRO, DMONT1,DCPAIS,     
DCDRES, DCDAUT FROM BODEGATMP/FTLF_YS where DCCEMI like '%"&amp;B4&amp;"%' AND substr(DCDTAR, 1, 6)in ("&amp;B11&amp;") ORDER BY DCDAUT",IF(AND(L39=TRUE,L41=TRUE),"SELECT DFHTRA, DCDMSG, DCDTYP, DCCADQ, DCCEMI,substr(DCDTAR, 1, 6)||'********'||substr(DCDTAR, 15, 2) AS TARJPRO, DMONT1,DCPAIS,     
DCDRES, DCDAUT FROM BODEGATMP/FTLF_YS where DCCEMI like '%"&amp;B4&amp;"%' and DCDAUT&lt;&gt;''  ORDER BY DCDAUT",IF(L39=TRUE,"SELECT DFHTRA, DCDMSG, DCDTYP, DCCADQ, DCCEMI,substr(DCDTAR, 1, 6)||'********'||substr(DCDTAR, 15, 2) AS TARJPRO, DMONT1,DCPAIS,     
DCDRES, DCDAUT FROM BODEGATMP/FTLF_YS where DCDAUT&lt;&gt;''  ORDER BY DCDAUT",IF(L40=TRUE,"SELECT DFHTRA, DCDMSG, DCDTYP, DCCADQ, DCCEMI,substr(DCDTAR, 1, 6)||'********'||substr(DCDTAR, 15, 2) AS TARJPRO, DMONT1,DCPAIS,     
DCDRES, DCDAUT FROM BODEGATMP/FTLF_YS where  substr(DCDTAR, 1, 6)in ("&amp;B11&amp;") ORDER BY DCDAUT",IF(L41=TRUE,"SELECT DFHTRA, DCDMSG, DCDTYP, DCCADQ, DCCEMI,substr(DCDTAR, 1, 6)||'********'||substr(DCDTAR, 15, 2) AS TARJPRO, DMONT1,DCPAIS,     
DCDRES, DCDAUT FROM BODEGATMP/FTLF_YS where DCCEMI like '%"&amp;B4&amp;"%' ORDER BY DCDAUT","SELECT DFHTRA, DCDMSG, DCDTYP, DCCADQ, DCCEMI,substr(DCDTAR, 1, 6)||'********'||substr(DCDTAR, 15, 2) AS TARJPRO, DMONT1,DCPAIS,     
DCDRES, DCDAUT FROM BODEGATMP/FTLF_YS  ORDER BY DCDAUT"))))))),IF(B27="REDEBAN",IF(AND(L39=TRUE,L40=TRUE,L41=TRUE),"SELECT DFHTRA, DCDMSG, DCDTYP, DCCADQ, DCCEMI,substr(DCDTAR, 1, 6)||'********'||substr(DCDTAR, 15, 2) AS TARJPRO, DMONT1,DCPAIS,     
DCDRES, DCDAUT FROM BODEGATMP/FTLF_NS where DCCEMI like '%"&amp;B4&amp;"%' AND substr(DCDTAR, 1, 6)in ("&amp;B11&amp;") and DCDAUT&lt;&gt;''  ORDER BY DCDAUT",IF(AND(L39=TRUE,L40=TRUE),"SELECT DFHTRA, DCDMSG, DCDTYP, DCCADQ, DCCEMI,substr(DCDTAR, 1, 6)||'********'||substr(DCDTAR, 15, 2) AS TARJPRO, DMONT1,DCPAIS,     
DCDRES, DCDAUT FROM BODEGATMP/FTLF_NS where  substr(DCDTAR, 1, 6)in ("&amp;B11&amp;") and DCDAUT&lt;&gt;''  ORDER BY DCDAUT",IF(AND(L40=TRUE,L41=TRUE),"SELECT DFHTRA, DCDMSG, DCDTYP, DCCADQ, DCCEMI,substr(DCDTAR, 1, 6)||'********'||substr(DCDTAR, 15, 2) AS TARJPRO, DMONT1,DCPAIS,     
DCDRES, DCDAUT FROM BODEGATMP/FTLF_NS where DCCEMI like '%"&amp;B4&amp;"%' AND substr(DCDTAR, 1, 6)in ("&amp;B11&amp;") ORDER BY DCDAUT",IF(AND(L39=TRUE,L41=TRUE),"SELECT DFHTRA, DCDMSG, DCDTYP, DCCADQ, DCCEMI,substr(DCDTAR, 1, 6)||'********'||substr(DCDTAR, 15, 2) AS TARJPRO, DMONT1,DCPAIS,     
DCDRES, DCDAUT FROM BODEGATMP/FTLF_NS where DCCEMI like '%"&amp;B4&amp;"%' and DCDAUT&lt;&gt;''  ORDER BY DCDAUT",IF(L39=TRUE,"SELECT DFHTRA, DCDMSG, DCDTYP, DCCADQ, DCCEMI,substr(DCDTAR, 1, 6)||'********'||substr(DCDTAR, 15, 2) AS TARJPRO, DMONT1,DCPAIS,     
DCDRES, DCDAUT FROM BODEGATMP/FTLF_NS where DCDAUT&lt;&gt;''  ORDER BY DCDAUT",IF(L40=TRUE,"SELECT DFHTRA, DCDMSG, DCDTYP, DCCADQ, DCCEMI,substr(DCDTAR, 1, 6)||'********'||substr(DCDTAR, 15, 2) AS TARJPRO, DMONT1,DCPAIS,     
DCDRES, DCDAUT FROM BODEGATMP/FTLF_NS where  substr(DCDTAR, 1, 6)in ("&amp;B11&amp;") ORDER BY DCDAUT",IF(L41=TRUE,"SELECT DFHTRA, DCDMSG, DCDTYP, DCCADQ, DCCEMI,substr(DCDTAR, 1, 6)||'********'||substr(DCDTAR, 15, 2) AS TARJPRO, DMONT1,DCPAIS,     
DCDRES, DCDAUT FROM BODEGATMP/FTLF_NS where DCCEMI like '%"&amp;B4&amp;"%' ORDER BY DCDAUT","SELECT DFHTRA, DCDMSG, DCDTYP, DCCADQ, DCCEMI,substr(DCDTAR, 1, 6)||'********'||substr(DCDTAR, 15, 2) AS TARJPRO, DMONT1,DCPAIS,     
DCDRES, DCDAUT FROM BODEGATMP/FTLF_NS  ORDER BY DCDAUT"))))))),""))</f>
        <v/>
      </c>
      <c r="H36" s="122" t="str">
        <f>B27</f>
        <v>NINGUNO</v>
      </c>
    </row>
    <row r="37" spans="2:12">
      <c r="B37" s="33"/>
      <c r="E37" s="341"/>
      <c r="F37"/>
      <c r="G37" s="78"/>
      <c r="H37" s="53"/>
    </row>
    <row r="38" spans="2:12">
      <c r="B38" s="33"/>
      <c r="E38" s="341"/>
      <c r="F38" s="338" t="s">
        <v>561</v>
      </c>
      <c r="G38" s="318" t="str">
        <f>IF(AND(L39=TRUE,L40=TRUE,L41=TRUE),"select DFHTRA, DCDMSG, DFIDID, DTPTRA, DCDEST, DTERMI, DCDRES,DREFER, DCAPFL,substr(dcdtar, 1, 6)||'********'||substr(dcdtar, 15, 2) AS TARJPRO,substr(DCDTAR, 1, 6), DMONT1,DCPAIS from BODEGATMP/FPTLFYS where DFIDID like '%"&amp;B4&amp;"%' AND substr(DCDTAR, 1, 6)in ("&amp;B11&amp;") and DREFER&lt;&gt;''  ORDER BY DREFER,DCAPFL",IF(AND(L39=TRUE,L40=TRUE),"select DFHTRA, DCDMSG, DFIDID, DTPTRA, DCDEST, DTERMI, DCDRES,DREFER, DCAPFL,substr(dcdtar, 1, 6)||'********'||substr(dcdtar, 15, 2) AS TARJPRO,substr(DCDTAR, 1, 6), DMONT1,DCPAIS from BODEGATMP/FPTLFYS where substr(DCDTAR, 1, 6)in ("&amp;B11&amp;") and DREFER&lt;&gt;''  ORDER BY DREFER,DCAPFL",IF(AND(L40=TRUE,L41=TRUE),"select DFHTRA, DCDMSG, DFIDID, DTPTRA, DCDEST, DTERMI, DCDRES,DREFER, DCAPFL,substr(dcdtar, 1, 6)||'********'||substr(dcdtar, 15, 2) AS TARJPRO,substr(DCDTAR, 1, 6), DMONT1,DCPAIS from BODEGATMP/FPTLFYS where DFIDID like '%"&amp;B4&amp;"%' AND substr(DCDTAR, 1, 6)in ("&amp;B11&amp;") ORDER BY DREFER,DCAPFL",IF(AND(L39=TRUE,L41=TRUE),"select DFHTRA, DCDMSG, DFIDID, DTPTRA, DCDEST, DTERMI, DCDRES,DREFER, DCAPFL,substr(dcdtar, 1, 6)||'********'||substr(dcdtar, 15, 2) AS TARJPRO,substr(DCDTAR, 1, 6), DMONT1,DCPAIS from BODEGATMP/FPTLFYS where DFIDID like '%"&amp;B4&amp;"%' and DREFER&lt;&gt;''  ORDER BY DREFER,DCAPFL",IF(L39=TRUE,"select DFHTRA, DCDMSG, DFIDID, DTPTRA, DCDEST, DTERMI, DCDRES,DREFER, DCAPFL,substr(dcdtar, 1, 6)||'********'||substr(dcdtar, 15, 2) AS TARJPRO,substr(DCDTAR, 1, 6), DMONT1,DCPAIS from BODEGATMP/FPTLFYS where  DREFER&lt;&gt;''  ORDER BY DREFER,DCAPFL",IF(L40=TRUE,"select DFHTRA, DCDMSG, DFIDID, DTPTRA, DCDEST, DTERMI, DCDRES,DREFER, DCAPFL,substr(dcdtar, 1, 6)||'********'||substr(dcdtar, 15, 2) AS TARJPRO,substr(DCDTAR, 1, 6), DMONT1,DCPAIS from BODEGATMP/FPTLFYS where  substr(DCDTAR, 1, 6)in ("&amp;B11&amp;")   ORDER BY DREFER,DCAPFL",IF(L41=TRUE,"select DFHTRA, DCDMSG, DFIDID, DTPTRA, DCDEST, DTERMI, DCDRES,DREFER, DCAPFL,substr(dcdtar, 1, 6)||'********'||substr(dcdtar, 15, 2) AS TARJPRO,substr(DCDTAR, 1, 6), DMONT1,DCPAIS from BODEGATMP/FPTLFYS where DFIDID like '%"&amp;B4&amp;"%'  ORDER BY DREFER,DCAPFL","select DFHTRA, DCDMSG, DFIDID, DTPTRA, DCDEST, DTERMI, DCDRES,DREFER, DCAPFL,substr(dcdtar, 1, 6)||'********'||substr(dcdtar, 15, 2) AS TARJPRO,substr(DCDTAR, 1, 6), DMONT1,DCPAIS from BODEGATMP/FPTLFYS ORDER BY DREFER,DCAPFL")))))))</f>
        <v>select DFHTRA, DCDMSG, DFIDID, DTPTRA, DCDEST, DTERMI, DCDRES,DREFER, DCAPFL,substr(dcdtar, 1, 6)||'********'||substr(dcdtar, 15, 2) AS TARJPRO,substr(DCDTAR, 1, 6), DMONT1,DCPAIS from BODEGATMP/FPTLFYS where DFIDID like '%01%' AND substr(DCDTAR, 1, 6)in ('457603','491511','403722') and DREFER&lt;&gt;''  ORDER BY DREFER,DCAPFL</v>
      </c>
      <c r="H38" s="337" t="s">
        <v>146</v>
      </c>
      <c r="J38" s="333" t="s">
        <v>315</v>
      </c>
      <c r="K38" s="333"/>
      <c r="L38" s="333"/>
    </row>
    <row r="39" spans="2:12" ht="15" customHeight="1">
      <c r="E39" s="341"/>
      <c r="F39" s="339"/>
      <c r="G39" s="318"/>
      <c r="H39" s="337"/>
      <c r="J39" s="28" t="s">
        <v>314</v>
      </c>
      <c r="K39" s="28"/>
      <c r="L39" s="50" t="b">
        <v>1</v>
      </c>
    </row>
    <row r="40" spans="2:12" ht="15" customHeight="1">
      <c r="E40" s="341"/>
      <c r="F40" s="339"/>
      <c r="G40" s="318"/>
      <c r="H40" s="337"/>
      <c r="J40" s="28" t="s">
        <v>312</v>
      </c>
      <c r="K40" s="28"/>
      <c r="L40" s="50" t="b">
        <v>1</v>
      </c>
    </row>
    <row r="41" spans="2:12">
      <c r="E41" s="341"/>
      <c r="F41" s="339"/>
      <c r="G41" s="318"/>
      <c r="H41" s="337"/>
      <c r="J41" s="28" t="s">
        <v>313</v>
      </c>
      <c r="K41" s="28"/>
      <c r="L41" s="50" t="b">
        <v>1</v>
      </c>
    </row>
    <row r="42" spans="2:12">
      <c r="E42" s="341"/>
      <c r="F42" s="339"/>
      <c r="G42" s="318"/>
      <c r="H42" s="337"/>
    </row>
    <row r="43" spans="2:12">
      <c r="E43" s="341"/>
      <c r="F43" s="340"/>
      <c r="G43" s="318"/>
      <c r="H43" s="337"/>
      <c r="I43" s="15"/>
      <c r="J43" s="51"/>
      <c r="K43" s="51"/>
    </row>
    <row r="44" spans="2:12">
      <c r="E44" s="341"/>
    </row>
    <row r="45" spans="2:12">
      <c r="E45" s="341"/>
      <c r="F45" s="316" t="s">
        <v>142</v>
      </c>
      <c r="G45" s="17" t="str">
        <f>"SELECT * FROM SISTEMAS.PLF0100A WHERE MBANCO = "&amp;B4&amp;" AND MBINCO IN ("&amp;B11&amp;")"</f>
        <v>SELECT * FROM SISTEMAS.PLF0100A WHERE MBANCO = 01 AND MBINCO IN ('457603','491511','403722')</v>
      </c>
      <c r="H45" s="118" t="s">
        <v>416</v>
      </c>
    </row>
    <row r="46" spans="2:12">
      <c r="E46" s="341"/>
      <c r="F46" s="316"/>
      <c r="G46" s="17" t="str">
        <f>"SELECT * FROM SISTEMAS.SWFTAB08 WHERE RCDCMP = "&amp;B4&amp;" AND RCDBIN IN ("&amp;B11&amp;")"</f>
        <v>SELECT * FROM SISTEMAS.SWFTAB08 WHERE RCDCMP = 01 AND RCDBIN IN ('457603','491511','403722')</v>
      </c>
      <c r="H46" s="118" t="s">
        <v>417</v>
      </c>
    </row>
    <row r="47" spans="2:12">
      <c r="E47" s="341"/>
      <c r="F47" s="316"/>
      <c r="G47" s="17" t="str">
        <f>"SELECT * FROM SISTEMAS.REFTAB08 WHERE  RBINCO IN ("&amp;B11&amp;")"</f>
        <v>SELECT * FROM SISTEMAS.REFTAB08 WHERE  RBINCO IN ('457603','491511','403722')</v>
      </c>
      <c r="H47" s="118" t="s">
        <v>418</v>
      </c>
    </row>
    <row r="48" spans="2:12">
      <c r="E48" s="341"/>
      <c r="F48" s="316"/>
      <c r="G48" s="17" t="str">
        <f>"SELECT * FROM SISTEMAS.SIF0100B WHERE DCDCMP = "&amp;B4&amp;" AND DCDBIN IN ("&amp;B11&amp;")"</f>
        <v>SELECT * FROM SISTEMAS.SIF0100B WHERE DCDCMP = 01 AND DCDBIN IN ('457603','491511','403722')</v>
      </c>
      <c r="H48" s="118" t="s">
        <v>419</v>
      </c>
    </row>
    <row r="49" spans="5:8">
      <c r="E49" s="341"/>
      <c r="F49" s="316"/>
      <c r="G49" s="17" t="str">
        <f>"SELECT * FROM BASEDOS.BAFTAB40 WHERE RCDCMP = "&amp;B4&amp;" AND RCDBIN IN ("&amp;B11&amp;")"</f>
        <v>SELECT * FROM BASEDOS.BAFTAB40 WHERE RCDCMP = 01 AND RCDBIN IN ('457603','491511','403722')</v>
      </c>
      <c r="H49" s="118" t="s">
        <v>420</v>
      </c>
    </row>
    <row r="50" spans="5:8">
      <c r="E50" s="341"/>
      <c r="F50" s="316"/>
      <c r="G50" s="17" t="str">
        <f>"SELECT * FROM SISTEMAS.REFTAB23 WHERE RCDBIN IN("&amp;B11&amp;")"</f>
        <v>SELECT * FROM SISTEMAS.REFTAB23 WHERE RCDBIN IN('457603','491511','403722')</v>
      </c>
      <c r="H50" s="118" t="s">
        <v>421</v>
      </c>
    </row>
    <row r="51" spans="5:8">
      <c r="E51" s="341"/>
      <c r="F51" s="316"/>
      <c r="G51" s="17" t="str">
        <f>"SELECT * FROM BASEDOS/VDF0304E WHERE BINCOD C20IN ("&amp;B11&amp;")"</f>
        <v>SELECT * FROM BASEDOS/VDF0304E WHERE BINCOD C20IN ('457603','491511','403722')</v>
      </c>
      <c r="H51" s="118" t="s">
        <v>421</v>
      </c>
    </row>
    <row r="52" spans="5:8">
      <c r="E52" s="341"/>
      <c r="F52"/>
      <c r="G52" s="17"/>
      <c r="H52" s="118"/>
    </row>
    <row r="53" spans="5:8" ht="174">
      <c r="E53" s="341"/>
      <c r="F53" s="112" t="s">
        <v>143</v>
      </c>
      <c r="G53" s="76" t="s">
        <v>651</v>
      </c>
      <c r="H53" s="125" t="s">
        <v>557</v>
      </c>
    </row>
    <row r="54" spans="5:8">
      <c r="E54" s="341"/>
      <c r="F54" s="126" t="s">
        <v>143</v>
      </c>
      <c r="G54" s="75" t="s">
        <v>566</v>
      </c>
      <c r="H54" s="118" t="s">
        <v>567</v>
      </c>
    </row>
    <row r="55" spans="5:8">
      <c r="E55" s="341"/>
    </row>
    <row r="56" spans="5:8" ht="30" customHeight="1">
      <c r="E56" s="341"/>
      <c r="F56" s="332" t="s">
        <v>199</v>
      </c>
      <c r="G56" s="76" t="str">
        <f>"SELECT * FROM CANJE/CAFCNTRL  WHERE TANOCA =' "&amp;MID(B5,3,2)&amp;"' AND TMESCA =' "&amp;MID(B5,5,2)&amp;"' AND TDIACA = '"&amp;MID(B5,7,2)+1&amp;"' ORDER BY TFECHA desc"</f>
        <v>SELECT * FROM CANJE/CAFCNTRL  WHERE TANOCA =' 23' AND TMESCA =' 06' AND TDIACA = '3' ORDER BY TFECHA desc</v>
      </c>
      <c r="H56" s="306" t="s">
        <v>145</v>
      </c>
    </row>
    <row r="57" spans="5:8">
      <c r="E57" s="341"/>
      <c r="F57" s="332"/>
      <c r="G57" s="76" t="str">
        <f>"UPDATE  BODEGATMP/CAFCNTRLYS  SET TANOCA="&amp;MID(B5,3,2)&amp;", TMESCA="&amp;MID(B5,5,2)&amp;", TDIACA="&amp;MID(B5,7,2)+1&amp;", TFECHA="&amp;MID(B5,3,7)+1&amp;""</f>
        <v>UPDATE  BODEGATMP/CAFCNTRLYS  SET TANOCA=23, TMESCA=06, TDIACA=3, TFECHA=230603</v>
      </c>
      <c r="H57" s="306"/>
    </row>
    <row r="58" spans="5:8">
      <c r="E58" s="341"/>
      <c r="F58" s="332"/>
      <c r="G58" s="76" t="s">
        <v>125</v>
      </c>
      <c r="H58" s="306"/>
    </row>
    <row r="59" spans="5:8">
      <c r="E59" s="341"/>
    </row>
    <row r="60" spans="5:8" ht="72.5">
      <c r="E60" s="341"/>
      <c r="F60" s="126" t="s">
        <v>200</v>
      </c>
      <c r="G60" s="75" t="str">
        <f>"CHGJOB DATE("&amp;TEXT(MID(B5,7,2)+1,"dd")&amp;MID(B5,5,2)&amp;MID(B5,3,2)&amp;")"</f>
        <v>CHGJOB DATE(030623)</v>
      </c>
      <c r="H60" s="119" t="s">
        <v>559</v>
      </c>
    </row>
    <row r="61" spans="5:8">
      <c r="E61" s="341"/>
    </row>
    <row r="62" spans="5:8">
      <c r="E62" s="341"/>
      <c r="F62" s="127" t="s">
        <v>150</v>
      </c>
      <c r="G62" s="26" t="s">
        <v>127</v>
      </c>
    </row>
    <row r="63" spans="5:8">
      <c r="E63" s="341"/>
    </row>
    <row r="64" spans="5:8">
      <c r="E64" s="341"/>
      <c r="F64" s="127" t="s">
        <v>128</v>
      </c>
      <c r="G64" s="17" t="s">
        <v>128</v>
      </c>
    </row>
    <row r="65" spans="5:9">
      <c r="E65" s="341"/>
    </row>
    <row r="66" spans="5:9" ht="29">
      <c r="E66" s="341"/>
      <c r="F66" s="127" t="s">
        <v>165</v>
      </c>
      <c r="G66" s="31" t="str">
        <f>"CALL PGM(ELECTRON/CEC1840) PARM('"&amp;MID(B5,3,2)&amp;MID(B5,5,2)&amp;TEXT(MID(B5,7,2)+1,"dd")&amp;"' 'N' 'N' '0000' '"&amp;REPT(0,4-LEN(B4))&amp;B4&amp;"' '0000' '0000' '"&amp;REPT(0,4-LEN(B4))&amp;B4&amp;"' '0000')"</f>
        <v>CALL PGM(ELECTRON/CEC1840) PARM('230603' 'N' 'N' '0000' '0001' '0000' '0000' '0001' '0000')</v>
      </c>
      <c r="H66" s="45" t="s">
        <v>568</v>
      </c>
    </row>
    <row r="67" spans="5:9">
      <c r="I67" s="3"/>
    </row>
    <row r="68" spans="5:9" ht="29">
      <c r="E68" s="352" t="s">
        <v>569</v>
      </c>
      <c r="F68" s="132" t="s">
        <v>201</v>
      </c>
      <c r="G68" s="120" t="str">
        <f>"SAVOBJ OBJ(VDFCNTR0 BAFCNTR2 BAFCNTRL BAF0401H VDF0801H) LIB(BASEDOS) DEV(*SAVF) SAVF("&amp;'Prueba Ing BIN 42'!B14&amp;"/"&amp;'Prueba Ing BIN 42'!B13&amp;")"</f>
        <v>SAVOBJ OBJ(VDFCNTR0 BAFCNTR2 BAFCNTRL BAF0401H VDF0801H) LIB(BASEDOS) DEV(*SAVF) SAVF(OPERACION/PASEN)</v>
      </c>
      <c r="I68" s="353" t="s">
        <v>163</v>
      </c>
    </row>
    <row r="69" spans="5:9">
      <c r="E69" s="352"/>
      <c r="F69" s="129"/>
      <c r="G69" s="16"/>
      <c r="I69" s="354"/>
    </row>
    <row r="70" spans="5:9">
      <c r="E70" s="352"/>
      <c r="F70" s="131" t="s">
        <v>232</v>
      </c>
      <c r="G70" s="17" t="s">
        <v>210</v>
      </c>
      <c r="I70" s="354"/>
    </row>
    <row r="71" spans="5:9">
      <c r="E71" s="352"/>
      <c r="F71" s="131" t="s">
        <v>233</v>
      </c>
      <c r="G71" s="36" t="s">
        <v>212</v>
      </c>
      <c r="I71" s="354"/>
    </row>
    <row r="72" spans="5:9">
      <c r="E72" s="352"/>
      <c r="F72" s="130"/>
      <c r="G72" s="135"/>
      <c r="I72" s="354"/>
    </row>
    <row r="73" spans="5:9">
      <c r="E73" s="352"/>
      <c r="F73" s="357" t="s">
        <v>234</v>
      </c>
      <c r="G73" s="17" t="s">
        <v>213</v>
      </c>
      <c r="I73" s="354"/>
    </row>
    <row r="74" spans="5:9">
      <c r="E74" s="352"/>
      <c r="F74" s="357"/>
      <c r="G74" s="17" t="s">
        <v>215</v>
      </c>
      <c r="I74" s="354"/>
    </row>
    <row r="75" spans="5:9">
      <c r="E75" s="352"/>
      <c r="F75" s="357"/>
      <c r="G75" s="17" t="s">
        <v>216</v>
      </c>
      <c r="I75" s="354"/>
    </row>
    <row r="76" spans="5:9">
      <c r="E76" s="352"/>
      <c r="F76" s="59"/>
      <c r="G76" s="135"/>
      <c r="I76" s="354"/>
    </row>
    <row r="77" spans="5:9">
      <c r="E77" s="352"/>
      <c r="F77" s="128" t="s">
        <v>226</v>
      </c>
      <c r="G77" s="17" t="str">
        <f>"put /QSYS.LIB/"&amp;B14&amp;".LIB/"&amp;B13&amp;".FILE "&amp;B13</f>
        <v>put /QSYS.LIB/OPERACION.LIB/PASEN.FILE PASEN</v>
      </c>
      <c r="I77" s="355"/>
    </row>
    <row r="78" spans="5:9">
      <c r="E78" s="352"/>
    </row>
    <row r="79" spans="5:9" ht="30" customHeight="1">
      <c r="E79" s="352"/>
      <c r="F79" s="86" t="s">
        <v>228</v>
      </c>
      <c r="G79" s="31" t="s">
        <v>210</v>
      </c>
      <c r="I79" s="345" t="s">
        <v>164</v>
      </c>
    </row>
    <row r="80" spans="5:9">
      <c r="E80" s="352"/>
      <c r="F80" s="86" t="s">
        <v>229</v>
      </c>
      <c r="G80" s="36" t="s">
        <v>212</v>
      </c>
      <c r="I80" s="346"/>
    </row>
    <row r="81" spans="5:9">
      <c r="E81" s="352"/>
      <c r="I81" s="346"/>
    </row>
    <row r="82" spans="5:9">
      <c r="E82" s="352"/>
      <c r="F82" s="358" t="s">
        <v>230</v>
      </c>
      <c r="G82" s="17" t="s">
        <v>213</v>
      </c>
      <c r="I82" s="346"/>
    </row>
    <row r="83" spans="5:9">
      <c r="E83" s="352"/>
      <c r="F83" s="359"/>
      <c r="G83" s="17" t="s">
        <v>215</v>
      </c>
      <c r="I83" s="346"/>
    </row>
    <row r="84" spans="5:9">
      <c r="E84" s="352"/>
      <c r="F84" s="360"/>
      <c r="G84" s="17" t="s">
        <v>216</v>
      </c>
      <c r="I84" s="346"/>
    </row>
    <row r="85" spans="5:9">
      <c r="E85" s="352"/>
      <c r="F85" s="20"/>
      <c r="G85" s="135"/>
      <c r="I85" s="346"/>
    </row>
    <row r="86" spans="5:9">
      <c r="E86" s="352"/>
      <c r="F86" s="86" t="s">
        <v>231</v>
      </c>
      <c r="G86" s="17" t="str">
        <f>"get "&amp;B13&amp;" /QSYS.LIB/"&amp;B14&amp;".LIB/"&amp;B13&amp;".FILE (replace"</f>
        <v>get PASEN /QSYS.LIB/OPERACION.LIB/PASEN.FILE (replace</v>
      </c>
      <c r="I86" s="346"/>
    </row>
    <row r="87" spans="5:9">
      <c r="E87" s="352"/>
      <c r="I87" s="346"/>
    </row>
    <row r="88" spans="5:9" ht="29">
      <c r="E88" s="352"/>
      <c r="F88" s="86" t="s">
        <v>173</v>
      </c>
      <c r="G88" s="120" t="str">
        <f>"RSTOBJ OBJ(VDFCNTR0 BAFCNTR2 BAFCNTRL BAF0401H VDF0801H) SAVLIB(BASEDOS) DEV(*SAVF) SAVF("&amp;'Prueba Ing BIN 42'!B14&amp;"/"&amp;'Prueba Ing BIN 42'!B13&amp;") RSTLIB(BODEGATMP)"</f>
        <v>RSTOBJ OBJ(VDFCNTR0 BAFCNTR2 BAFCNTRL BAF0401H VDF0801H) SAVLIB(BASEDOS) DEV(*SAVF) SAVF(OPERACION/PASEN) RSTLIB(BODEGATMP)</v>
      </c>
      <c r="I88" s="346"/>
    </row>
    <row r="89" spans="5:9">
      <c r="E89" s="352"/>
      <c r="G89" s="16"/>
      <c r="I89" s="346"/>
    </row>
    <row r="90" spans="5:9">
      <c r="E90" s="352"/>
      <c r="F90" s="370" t="s">
        <v>174</v>
      </c>
      <c r="G90" s="76" t="s">
        <v>166</v>
      </c>
      <c r="H90" s="110" t="s">
        <v>154</v>
      </c>
      <c r="I90" s="347"/>
    </row>
    <row r="91" spans="5:9">
      <c r="E91" s="352"/>
      <c r="F91" s="371"/>
      <c r="G91" s="76" t="s">
        <v>167</v>
      </c>
      <c r="H91" s="110" t="s">
        <v>155</v>
      </c>
      <c r="I91" s="347"/>
    </row>
    <row r="92" spans="5:9">
      <c r="E92" s="352"/>
      <c r="F92" s="371"/>
      <c r="G92" s="76" t="s">
        <v>168</v>
      </c>
      <c r="H92" s="110" t="s">
        <v>156</v>
      </c>
      <c r="I92" s="347"/>
    </row>
    <row r="93" spans="5:9">
      <c r="E93" s="352"/>
      <c r="F93" s="371"/>
      <c r="G93" s="76" t="s">
        <v>169</v>
      </c>
      <c r="H93" s="110" t="s">
        <v>171</v>
      </c>
      <c r="I93" s="347"/>
    </row>
    <row r="94" spans="5:9">
      <c r="E94" s="352"/>
      <c r="F94" s="372"/>
      <c r="G94" s="76" t="s">
        <v>170</v>
      </c>
      <c r="H94" s="110" t="s">
        <v>172</v>
      </c>
      <c r="I94" s="348"/>
    </row>
    <row r="95" spans="5:9">
      <c r="G95" s="16"/>
    </row>
    <row r="96" spans="5:9">
      <c r="E96" s="352" t="s">
        <v>241</v>
      </c>
      <c r="F96" s="86" t="s">
        <v>150</v>
      </c>
      <c r="G96" s="120" t="s">
        <v>127</v>
      </c>
    </row>
    <row r="97" spans="5:9">
      <c r="E97" s="352"/>
      <c r="F97" s="59"/>
      <c r="G97" s="136"/>
    </row>
    <row r="98" spans="5:9">
      <c r="E98" s="352"/>
      <c r="F98" s="86" t="s">
        <v>176</v>
      </c>
      <c r="G98" s="120" t="s">
        <v>175</v>
      </c>
    </row>
    <row r="99" spans="5:9">
      <c r="E99" s="352"/>
      <c r="F99" s="59"/>
      <c r="G99" s="136"/>
    </row>
    <row r="100" spans="5:9" ht="29">
      <c r="E100" s="352"/>
      <c r="F100" s="86" t="s">
        <v>178</v>
      </c>
      <c r="G100" s="76" t="str">
        <f>"CHGSYSVAL SYSVAL(QDATE) VALUE('"&amp;MID(B12,7,2)&amp;MID(B12,5,2)&amp;MID(B12,3,2)&amp;"')"</f>
        <v>CHGSYSVAL SYSVAL(QDATE) VALUE('040623')</v>
      </c>
      <c r="H100" s="119" t="s">
        <v>570</v>
      </c>
    </row>
    <row r="101" spans="5:9">
      <c r="E101" s="352"/>
      <c r="F101" s="59"/>
      <c r="G101" s="136"/>
      <c r="H101" s="137"/>
      <c r="I101" s="3"/>
    </row>
    <row r="102" spans="5:9" ht="29">
      <c r="E102" s="352"/>
      <c r="F102" s="86" t="s">
        <v>179</v>
      </c>
      <c r="G102" s="76" t="str">
        <f>"CHGDTAARA DTAARA(ELECTRON/CEDATA (14 6)) VALUE('"&amp;MID(B12,3,2)&amp;MID(B12,5,2)&amp;MID(B12,7,2)&amp;"')"</f>
        <v>CHGDTAARA DTAARA(ELECTRON/CEDATA (14 6)) VALUE('230604')</v>
      </c>
      <c r="H102" s="119" t="s">
        <v>571</v>
      </c>
    </row>
    <row r="103" spans="5:9">
      <c r="E103" s="352"/>
      <c r="F103" s="59"/>
      <c r="G103" s="136"/>
    </row>
    <row r="104" spans="5:9">
      <c r="E104" s="352"/>
      <c r="F104" s="86" t="s">
        <v>180</v>
      </c>
      <c r="G104" s="120" t="s">
        <v>177</v>
      </c>
    </row>
    <row r="105" spans="5:9">
      <c r="E105" s="352"/>
      <c r="G105" s="16"/>
    </row>
    <row r="106" spans="5:9">
      <c r="E106" s="352"/>
      <c r="F106" s="86" t="s">
        <v>150</v>
      </c>
      <c r="G106" s="120" t="s">
        <v>127</v>
      </c>
    </row>
    <row r="107" spans="5:9">
      <c r="E107" s="352"/>
      <c r="G107" s="16"/>
    </row>
    <row r="108" spans="5:9" ht="29">
      <c r="E108" s="352"/>
      <c r="F108" s="374" t="s">
        <v>181</v>
      </c>
      <c r="G108" s="76" t="str">
        <f>"DELETE BASEDOS/VDFCNTR0 WHERE DFHAMD &gt;="&amp;B12</f>
        <v>DELETE BASEDOS/VDFCNTR0 WHERE DFHAMD &gt;=20230604</v>
      </c>
      <c r="H108" s="45" t="s">
        <v>572</v>
      </c>
    </row>
    <row r="109" spans="5:9" ht="29">
      <c r="E109" s="352"/>
      <c r="F109" s="374"/>
      <c r="G109" s="265" t="str">
        <f>"DELETE BASEDOS/BAF0401H WHERE DFHPRO&gt;="&amp;B12</f>
        <v>DELETE BASEDOS/BAF0401H WHERE DFHPRO&gt;=20230604</v>
      </c>
      <c r="H109" s="45" t="s">
        <v>572</v>
      </c>
    </row>
    <row r="110" spans="5:9" ht="29">
      <c r="E110" s="352"/>
      <c r="F110" s="374"/>
      <c r="G110" s="76" t="str">
        <f>"DELETE BASEDOS/BAFCNTRL WHERE  DFHAMD&gt;"&amp;B12</f>
        <v>DELETE BASEDOS/BAFCNTRL WHERE  DFHAMD&gt;20230604</v>
      </c>
      <c r="H110" s="45" t="s">
        <v>573</v>
      </c>
    </row>
    <row r="111" spans="5:9" ht="29">
      <c r="E111" s="352"/>
      <c r="F111" s="374"/>
      <c r="G111" s="76" t="str">
        <f>"DELETE   BASEDOS/VDF0801H WHERE DFHPRO &gt;="&amp;B12</f>
        <v>DELETE   BASEDOS/VDF0801H WHERE DFHPRO &gt;=20230604</v>
      </c>
      <c r="H111" s="45" t="s">
        <v>572</v>
      </c>
    </row>
    <row r="112" spans="5:9" ht="29">
      <c r="E112" s="352"/>
      <c r="F112" s="374"/>
      <c r="G112" s="76" t="str">
        <f>"DELETE BASEDOS/BAFCNTR2 WHERE DFHAMD &gt;= "&amp;B12</f>
        <v>DELETE BASEDOS/BAFCNTR2 WHERE DFHAMD &gt;= 20230604</v>
      </c>
      <c r="H112" s="45" t="s">
        <v>572</v>
      </c>
    </row>
    <row r="113" spans="5:8">
      <c r="E113" s="352"/>
    </row>
    <row r="114" spans="5:8" ht="29">
      <c r="E114" s="352"/>
      <c r="F114" s="332" t="s">
        <v>188</v>
      </c>
      <c r="G114" s="76" t="str">
        <f>"SELECT * FROM BASEDOS/VDFCNTR0 WHERE DFHAMD &gt;="&amp;B12</f>
        <v>SELECT * FROM BASEDOS/VDFCNTR0 WHERE DFHAMD &gt;=20230604</v>
      </c>
      <c r="H114" s="45" t="s">
        <v>572</v>
      </c>
    </row>
    <row r="115" spans="5:8" ht="29">
      <c r="E115" s="352"/>
      <c r="F115" s="332"/>
      <c r="G115" s="76" t="str">
        <f>"SELECT * FROM BASEDOS/BAF0401H WHERE DFHPRO&gt;="&amp;B12</f>
        <v>SELECT * FROM BASEDOS/BAF0401H WHERE DFHPRO&gt;=20230604</v>
      </c>
      <c r="H115" s="45" t="s">
        <v>572</v>
      </c>
    </row>
    <row r="116" spans="5:8" ht="29">
      <c r="E116" s="352"/>
      <c r="F116" s="332"/>
      <c r="G116" s="76" t="str">
        <f>"SELECT * FROM BASEDOS/BAFCNTRL WHERE  DFHAMD&gt;"&amp;B12</f>
        <v>SELECT * FROM BASEDOS/BAFCNTRL WHERE  DFHAMD&gt;20230604</v>
      </c>
      <c r="H116" s="45" t="s">
        <v>573</v>
      </c>
    </row>
    <row r="117" spans="5:8" ht="29">
      <c r="E117" s="352"/>
      <c r="F117" s="332"/>
      <c r="G117" s="76" t="str">
        <f>"SELECT * FROM   BASEDOS/VDF0801H WHERE DFHPRO &gt;="&amp;B12</f>
        <v>SELECT * FROM   BASEDOS/VDF0801H WHERE DFHPRO &gt;=20230604</v>
      </c>
      <c r="H117" s="45" t="s">
        <v>572</v>
      </c>
    </row>
    <row r="118" spans="5:8" ht="29">
      <c r="E118" s="352"/>
      <c r="F118" s="332"/>
      <c r="G118" s="76" t="str">
        <f>"SELECT * FROM BASEDOS/BAFCNTR2 WHERE DFHAMD &gt;= "&amp;B12</f>
        <v>SELECT * FROM BASEDOS/BAFCNTR2 WHERE DFHAMD &gt;= 20230604</v>
      </c>
      <c r="H118" s="45" t="s">
        <v>572</v>
      </c>
    </row>
    <row r="119" spans="5:8">
      <c r="E119" s="352"/>
    </row>
    <row r="120" spans="5:8" ht="29">
      <c r="E120" s="352"/>
      <c r="F120" s="349" t="s">
        <v>574</v>
      </c>
      <c r="G120" s="31" t="s">
        <v>189</v>
      </c>
      <c r="H120" s="119" t="s">
        <v>579</v>
      </c>
    </row>
    <row r="121" spans="5:8" ht="29">
      <c r="E121" s="352"/>
      <c r="F121" s="349"/>
      <c r="G121" s="31" t="s">
        <v>190</v>
      </c>
      <c r="H121" s="119" t="s">
        <v>577</v>
      </c>
    </row>
    <row r="122" spans="5:8" ht="29">
      <c r="E122" s="352"/>
      <c r="F122" s="349"/>
      <c r="G122" s="31" t="s">
        <v>191</v>
      </c>
      <c r="H122" s="119" t="s">
        <v>576</v>
      </c>
    </row>
    <row r="123" spans="5:8" ht="29">
      <c r="E123" s="352"/>
      <c r="F123" s="349"/>
      <c r="G123" s="31" t="s">
        <v>552</v>
      </c>
      <c r="H123" s="119" t="s">
        <v>578</v>
      </c>
    </row>
    <row r="124" spans="5:8" ht="29">
      <c r="E124" s="352"/>
      <c r="F124" s="349"/>
      <c r="G124" s="31" t="s">
        <v>553</v>
      </c>
      <c r="H124" s="119" t="s">
        <v>575</v>
      </c>
    </row>
    <row r="125" spans="5:8">
      <c r="E125" s="352"/>
    </row>
    <row r="126" spans="5:8" ht="29">
      <c r="E126" s="352"/>
      <c r="F126" s="332" t="s">
        <v>192</v>
      </c>
      <c r="G126" s="75" t="str">
        <f>"SELECT * FROM BASEDOS/VDF0801H WHERE DFHPRO &gt;="&amp;B12</f>
        <v>SELECT * FROM BASEDOS/VDF0801H WHERE DFHPRO &gt;=20230604</v>
      </c>
      <c r="H126" s="119" t="s">
        <v>572</v>
      </c>
    </row>
    <row r="127" spans="5:8" ht="29">
      <c r="E127" s="352"/>
      <c r="F127" s="332"/>
      <c r="G127" s="75" t="str">
        <f>"DELETE BASEDOS/VDF0801H WHERE DFHPRO &gt;="&amp;B12</f>
        <v>DELETE BASEDOS/VDF0801H WHERE DFHPRO &gt;=20230604</v>
      </c>
      <c r="H127" s="119" t="s">
        <v>572</v>
      </c>
    </row>
    <row r="128" spans="5:8">
      <c r="E128" s="352"/>
      <c r="F128" s="332"/>
      <c r="G128" s="75" t="str">
        <f>"DELETE BASEDOS.BAFHT462 WHERE DCPDAT = '"&amp;VLOOKUP(B12,'Fecha Juliana'!A:B,2,FALSE)&amp;"'"</f>
        <v>DELETE BASEDOS.BAFHT462 WHERE DCPDAT = '23155'</v>
      </c>
      <c r="H128" s="119" t="s">
        <v>580</v>
      </c>
    </row>
    <row r="129" spans="5:14">
      <c r="E129" s="352"/>
      <c r="F129" s="332"/>
      <c r="G129" s="75" t="str">
        <f>"DELETE BASEDOS.BAFHT472 WHERE DCPDAT =  '"&amp;VLOOKUP(B12,'Fecha Juliana'!A:B,2,FALSE)&amp;"'"</f>
        <v>DELETE BASEDOS.BAFHT472 WHERE DCPDAT =  '23155'</v>
      </c>
      <c r="H129" s="119" t="s">
        <v>580</v>
      </c>
    </row>
    <row r="130" spans="5:14">
      <c r="E130" s="352"/>
      <c r="F130"/>
      <c r="G130" s="124"/>
      <c r="H130" s="156"/>
    </row>
    <row r="131" spans="5:14">
      <c r="E131" s="352"/>
      <c r="F131" s="157" t="s">
        <v>311</v>
      </c>
      <c r="G131" s="17" t="s">
        <v>330</v>
      </c>
      <c r="H131" s="156"/>
    </row>
    <row r="132" spans="5:14">
      <c r="E132" s="352"/>
    </row>
    <row r="133" spans="5:14">
      <c r="E133" s="352"/>
      <c r="F133" s="134" t="s">
        <v>150</v>
      </c>
      <c r="G133" s="17" t="s">
        <v>127</v>
      </c>
    </row>
    <row r="134" spans="5:14">
      <c r="E134" s="352"/>
      <c r="F134" s="349" t="s">
        <v>193</v>
      </c>
      <c r="G134" s="350" t="str">
        <f>IF(B28="INTERNACIONAL","CALL BASEDOS/BAC0500","CALL PGM(VDC0800) PARM('424994')")</f>
        <v>CALL BASEDOS/BAC0500</v>
      </c>
      <c r="H134" s="32" t="s">
        <v>194</v>
      </c>
    </row>
    <row r="135" spans="5:14">
      <c r="E135" s="352"/>
      <c r="F135" s="349"/>
      <c r="G135" s="350"/>
      <c r="H135" s="32" t="s">
        <v>195</v>
      </c>
    </row>
    <row r="136" spans="5:14">
      <c r="E136" s="352"/>
      <c r="F136" s="349"/>
      <c r="G136" s="350"/>
      <c r="H136" s="32" t="s">
        <v>196</v>
      </c>
    </row>
    <row r="138" spans="5:14" ht="58">
      <c r="E138" s="352" t="s">
        <v>583</v>
      </c>
      <c r="F138" s="134" t="s">
        <v>202</v>
      </c>
      <c r="G138" s="28" t="str">
        <f>"UPDATE TD"&amp;REPT(0,4-LEN(B4))&amp;B4&amp;"/EXTRACTO                                 
SET EXTRACTO =
 SUBSTR(EXTRACTO, 1, 5)||"&amp;MID(B5,3,2)&amp;MID(B5,5,2)&amp;TEXT(MID(B5,7,2)+1,"dd")&amp;"||SUBSTR(EXTRACTO, 12, 41) 
   WHERE SUBSTR(EXTRACTO, 1, 1)='/'"</f>
        <v>UPDATE TD0001/EXTRACTO                                 
SET EXTRACTO =
 SUBSTR(EXTRACTO, 1, 5)||230603||SUBSTR(EXTRACTO, 12, 41) 
   WHERE SUBSTR(EXTRACTO, 1, 1)='/'</v>
      </c>
    </row>
    <row r="139" spans="5:14">
      <c r="E139" s="352"/>
      <c r="F139"/>
      <c r="G139" s="15"/>
    </row>
    <row r="140" spans="5:14">
      <c r="E140" s="352"/>
      <c r="F140" s="351" t="s">
        <v>581</v>
      </c>
      <c r="G140" s="17" t="str">
        <f>"WRKF FILE(TD"&amp;REPT(0,4-LEN(B4))&amp;B4&amp;"/EXTRACTO)"</f>
        <v>WRKF FILE(TD0001/EXTRACTO)</v>
      </c>
      <c r="H140" s="4" t="s">
        <v>582</v>
      </c>
    </row>
    <row r="141" spans="5:14">
      <c r="E141" s="352"/>
      <c r="F141" s="351"/>
      <c r="G141" s="17" t="str">
        <f>"WRKF FILE(TD"&amp;REPT(0,4-LEN(B4))&amp;B4&amp;"/CANJEETX)"</f>
        <v>WRKF FILE(TD0001/CANJEETX)</v>
      </c>
      <c r="H141" s="4" t="s">
        <v>130</v>
      </c>
    </row>
    <row r="142" spans="5:14">
      <c r="E142" s="352"/>
      <c r="F142" s="351"/>
      <c r="G142" s="17" t="str">
        <f>"WRKF FILE(TD"&amp;REPT(0,4-LEN(B4))&amp;B4&amp;"/DEPOSTX)"</f>
        <v>WRKF FILE(TD0001/DEPOSTX)</v>
      </c>
      <c r="H142" s="4" t="s">
        <v>131</v>
      </c>
    </row>
    <row r="143" spans="5:14">
      <c r="E143" s="352"/>
      <c r="F143" s="351"/>
      <c r="G143" s="17" t="str">
        <f>"WRKF FILE(TD"&amp;REPT(0,4-LEN(B4))&amp;B4&amp;"/CANJEIT2)"</f>
        <v>WRKF FILE(TD0001/CANJEIT2)</v>
      </c>
      <c r="H143" s="4" t="s">
        <v>133</v>
      </c>
    </row>
    <row r="144" spans="5:14">
      <c r="E144" s="352"/>
      <c r="F144" s="351"/>
      <c r="G144" s="17" t="str">
        <f>IF(B28="INTERNACIONAL","WRKF FILE(TD"&amp;REPT(0,4-LEN(B4))&amp;B4&amp;"/CAITAD2)","WRKF FILE(TD"&amp;REPT(0,4-LEN(B4))&amp;B4&amp;"/CAEA2)")</f>
        <v>WRKF FILE(TD0001/CAITAD2)</v>
      </c>
      <c r="H144" s="4" t="str">
        <f>IF(B28="INTERNACIONAL","VDCAIAD2","CAEA2")</f>
        <v>VDCAIAD2</v>
      </c>
      <c r="J144" s="364"/>
      <c r="K144" s="367" t="s">
        <v>163</v>
      </c>
      <c r="L144" s="368"/>
      <c r="M144" s="368"/>
      <c r="N144" s="369"/>
    </row>
    <row r="145" spans="2:15" ht="15.5">
      <c r="E145" s="352"/>
      <c r="F145" s="351"/>
      <c r="G145" s="28" t="str">
        <f>IF(B19=TRUE,"WRKF FILE(TD"&amp;REPT(0,4-LEN(B4))&amp;B4&amp;"/DEPOSADTX)","")</f>
        <v>WRKF FILE(TD0001/DEPOSADTX)</v>
      </c>
      <c r="H145" s="4" t="s">
        <v>509</v>
      </c>
      <c r="J145" s="365"/>
      <c r="K145" s="362" t="s">
        <v>596</v>
      </c>
      <c r="L145" s="363"/>
      <c r="M145" s="362" t="s">
        <v>597</v>
      </c>
      <c r="N145" s="363"/>
    </row>
    <row r="146" spans="2:15" ht="15.5">
      <c r="E146" s="352"/>
      <c r="G146" s="15"/>
      <c r="I146" s="3"/>
      <c r="J146" s="366"/>
      <c r="K146" s="161" t="s">
        <v>607</v>
      </c>
      <c r="L146" s="161" t="s">
        <v>608</v>
      </c>
      <c r="M146" s="161" t="s">
        <v>607</v>
      </c>
      <c r="N146" s="161" t="s">
        <v>608</v>
      </c>
    </row>
    <row r="147" spans="2:15" ht="15.5">
      <c r="E147" s="352"/>
      <c r="F147" s="356" t="s">
        <v>197</v>
      </c>
      <c r="G147" s="17" t="str">
        <f>"GASFTPSEND DTPPRO('EXTRA_TEST') DCDCMP('"&amp;REPT(0,4-LEN(B4))&amp;B4&amp;"')"</f>
        <v>GASFTPSEND DTPPRO('EXTRA_TEST') DCDCMP('0001')</v>
      </c>
      <c r="H147" s="4" t="s">
        <v>129</v>
      </c>
      <c r="J147" s="161" t="s">
        <v>609</v>
      </c>
      <c r="K147" s="162" t="s">
        <v>610</v>
      </c>
      <c r="L147" s="162" t="s">
        <v>611</v>
      </c>
      <c r="M147" s="162" t="s">
        <v>612</v>
      </c>
      <c r="N147" s="162" t="s">
        <v>613</v>
      </c>
    </row>
    <row r="148" spans="2:15" ht="15.5">
      <c r="B148" s="15"/>
      <c r="E148" s="352"/>
      <c r="F148" s="351"/>
      <c r="G148" s="17" t="str">
        <f>"GASFTPSEND DTPPRO('CELEC_TEST') DCDCMP('"&amp;REPT(0,4-LEN(B4))&amp;B4&amp;"')"</f>
        <v>GASFTPSEND DTPPRO('CELEC_TEST') DCDCMP('0001')</v>
      </c>
      <c r="H148" s="4" t="s">
        <v>130</v>
      </c>
      <c r="J148" s="161" t="s">
        <v>261</v>
      </c>
      <c r="K148" s="163" t="s">
        <v>614</v>
      </c>
      <c r="L148" s="164" t="s">
        <v>471</v>
      </c>
      <c r="M148" s="163" t="s">
        <v>612</v>
      </c>
      <c r="N148" s="164" t="s">
        <v>613</v>
      </c>
      <c r="O148" s="160"/>
    </row>
    <row r="149" spans="2:15">
      <c r="E149" s="352"/>
      <c r="F149" s="351"/>
      <c r="G149" s="17" t="str">
        <f>"GASFTPSEND DTPPRO('DELEC_TEST') DCDCMP('"&amp;REPT(0,4-LEN(B4))&amp;B4&amp;"')"</f>
        <v>GASFTPSEND DTPPRO('DELEC_TEST') DCDCMP('0001')</v>
      </c>
      <c r="H149" s="4" t="s">
        <v>131</v>
      </c>
      <c r="O149" s="160"/>
    </row>
    <row r="150" spans="2:15">
      <c r="E150" s="352"/>
      <c r="F150" s="351"/>
      <c r="G150" s="17" t="str">
        <f>IF(B22=TRUE,IF(B28="INTERNACIONAL","GASFTPSEND DTPPRO('CINTE_07') DCDCMP('"&amp;REPT(0,4-LEN(B4))&amp;B4&amp;"')","GASFTPSEND DTPPRO('CINTE_09') DCDCMP('"&amp;REPT(0,4-LEN(B4))&amp;B4&amp;"')"),"")</f>
        <v>GASFTPSEND DTPPRO('CINTE_07') DCDCMP('0001')</v>
      </c>
      <c r="H150" s="4" t="str">
        <f>IF(B28="INTERNACIONAL","VDCAIAD2","CAEA2")</f>
        <v>VDCAIAD2</v>
      </c>
      <c r="O150" s="160"/>
    </row>
    <row r="151" spans="2:15">
      <c r="E151" s="352"/>
      <c r="F151" s="351"/>
      <c r="G151" s="17" t="str">
        <f>"GASFTPSEND DTPPRO('CINTE_04') DCDCMP('"&amp;REPT(0,4-LEN(B4))&amp;B4&amp;"')"</f>
        <v>GASFTPSEND DTPPRO('CINTE_04') DCDCMP('0001')</v>
      </c>
      <c r="H151" s="4" t="s">
        <v>133</v>
      </c>
      <c r="O151" s="160"/>
    </row>
    <row r="152" spans="2:15">
      <c r="E152" s="352"/>
      <c r="F152" s="351"/>
      <c r="G152" s="28" t="str">
        <f>IF(B23=TRUE,"GASFTPSEND DTPPRO('DEADE_01') DCDCMP('"&amp;REPT(0,4-LEN(B4))&amp;B4&amp;"')","")</f>
        <v/>
      </c>
      <c r="H152" s="4" t="s">
        <v>509</v>
      </c>
      <c r="O152" s="160"/>
    </row>
    <row r="153" spans="2:15">
      <c r="G153" s="15"/>
    </row>
    <row r="154" spans="2:15" ht="29">
      <c r="E154" s="361" t="s">
        <v>586</v>
      </c>
      <c r="F154" s="86" t="s">
        <v>203</v>
      </c>
      <c r="G154" s="28" t="str">
        <f>"CPYF FROMFILE(INARCH/BAI0483A) TOFILE(BODEGATMP/F0483A"&amp;MID($B$5,5,4)&amp;") MBROPT(*REPLACE) CRTFILE(*YES) FMTOPT(*NOCHK)"</f>
        <v>CPYF FROMFILE(INARCH/BAI0483A) TOFILE(BODEGATMP/F0483A0602) MBROPT(*REPLACE) CRTFILE(*YES) FMTOPT(*NOCHK)</v>
      </c>
      <c r="I154" s="32" t="s">
        <v>584</v>
      </c>
      <c r="J154" s="32" t="str">
        <f>"F0483A"&amp;MID($B$5,5,4)</f>
        <v>F0483A0602</v>
      </c>
    </row>
    <row r="155" spans="2:15" ht="29">
      <c r="E155" s="361"/>
      <c r="F155" s="86" t="s">
        <v>204</v>
      </c>
      <c r="G155" s="28" t="str">
        <f>"CPYF FROMFILE(INARCH/BAI0485A) TOFILE(BODEGATMP/F0485A"&amp;MID($B$5,5,4)&amp;") MBROPT(*REPLACE) CRTFILE(*YES) FMTOPT(*NOCHK)"</f>
        <v>CPYF FROMFILE(INARCH/BAI0485A) TOFILE(BODEGATMP/F0485A0602) MBROPT(*REPLACE) CRTFILE(*YES) FMTOPT(*NOCHK)</v>
      </c>
      <c r="I155" s="32" t="s">
        <v>585</v>
      </c>
      <c r="J155" s="32" t="str">
        <f>"F0485A"&amp;MID($B$5,5,4)</f>
        <v>F0485A0602</v>
      </c>
      <c r="L155" s="373"/>
      <c r="M155" s="373"/>
      <c r="N155" s="373"/>
    </row>
    <row r="156" spans="2:15">
      <c r="G156" s="138"/>
      <c r="I156" s="58"/>
      <c r="J156" s="58"/>
      <c r="L156" s="373"/>
      <c r="M156" s="373"/>
      <c r="N156" s="373"/>
    </row>
    <row r="157" spans="2:15" ht="29">
      <c r="E157" s="361" t="s">
        <v>587</v>
      </c>
      <c r="F157" s="86" t="s">
        <v>203</v>
      </c>
      <c r="G157" s="28" t="str">
        <f>"CPYF FROMFILE(BODEGATMP/F0483A"&amp;$B$4&amp;MID($B$5,7,2)&amp;") TOFILE(INARCH/BAI0483A) MBROPT(*REPLACE) CRTFILE(*NO) FMTOPT(*NOCHK)"</f>
        <v>CPYF FROMFILE(BODEGATMP/F0483A0102) TOFILE(INARCH/BAI0483A) MBROPT(*REPLACE) CRTFILE(*NO) FMTOPT(*NOCHK)</v>
      </c>
      <c r="I157" s="32" t="s">
        <v>584</v>
      </c>
      <c r="J157" s="58"/>
      <c r="L157" s="373"/>
      <c r="M157" s="373"/>
      <c r="N157" s="373"/>
    </row>
    <row r="158" spans="2:15" ht="29">
      <c r="E158" s="361"/>
      <c r="F158" s="86" t="s">
        <v>204</v>
      </c>
      <c r="G158" s="28" t="str">
        <f>"CPYF FROMFILE(BODEGATMP/F0485A"&amp;MID($B$5,5,4)&amp;") TOFILE(INARCH/BAI0485A) MBROPT(*REPLACE) CRTFILE(*NO) FMTOPT(*NOCHK)"</f>
        <v>CPYF FROMFILE(BODEGATMP/F0485A0602) TOFILE(INARCH/BAI0485A) MBROPT(*REPLACE) CRTFILE(*NO) FMTOPT(*NOCHK)</v>
      </c>
      <c r="I158" s="32" t="s">
        <v>585</v>
      </c>
      <c r="J158" s="58"/>
      <c r="L158" s="373"/>
      <c r="M158" s="373"/>
      <c r="N158" s="373"/>
    </row>
    <row r="159" spans="2:15">
      <c r="G159" s="138"/>
      <c r="L159" s="373"/>
      <c r="M159" s="373"/>
      <c r="N159" s="373"/>
    </row>
    <row r="160" spans="2:15" ht="29">
      <c r="E160" s="361" t="s">
        <v>588</v>
      </c>
      <c r="F160" s="86" t="s">
        <v>257</v>
      </c>
      <c r="G160" s="28" t="s">
        <v>255</v>
      </c>
      <c r="L160" s="373"/>
      <c r="M160" s="373"/>
      <c r="N160" s="373"/>
    </row>
    <row r="161" spans="5:11" ht="29">
      <c r="E161" s="361"/>
      <c r="F161" s="86" t="s">
        <v>257</v>
      </c>
      <c r="G161" s="28" t="s">
        <v>256</v>
      </c>
    </row>
    <row r="163" spans="5:11">
      <c r="E163" s="342" t="s">
        <v>589</v>
      </c>
      <c r="F163" s="86" t="s">
        <v>367</v>
      </c>
      <c r="G163" s="76" t="str">
        <f ca="1">"CHGSYSVAL SYSVAL(QDATE) VALUE('"&amp;MID(B16,7,2)&amp;MID(B16,5,2)&amp;MID(B16,3,2)&amp;"')"</f>
        <v>CHGSYSVAL SYSVAL(QDATE) VALUE('310823')</v>
      </c>
    </row>
    <row r="164" spans="5:11">
      <c r="E164" s="343"/>
      <c r="F164" s="59"/>
      <c r="G164" s="139"/>
    </row>
    <row r="165" spans="5:11">
      <c r="E165" s="343"/>
      <c r="F165" s="86" t="s">
        <v>368</v>
      </c>
      <c r="G165" s="76" t="str">
        <f ca="1">"CHGDTAARA DTAARA(ELECTRON/CEDATA (14 6)) VALUE('"&amp;MID(B16,3,2)&amp;MID(B16,5,2)&amp;MID(B16,7,2)&amp;"')"</f>
        <v>CHGDTAARA DTAARA(ELECTRON/CEDATA (14 6)) VALUE('230831')</v>
      </c>
    </row>
    <row r="166" spans="5:11">
      <c r="E166" s="343"/>
      <c r="F166" s="60"/>
    </row>
    <row r="167" spans="5:11" ht="15">
      <c r="E167" s="344"/>
      <c r="F167" s="86" t="s">
        <v>180</v>
      </c>
      <c r="G167" s="120" t="s">
        <v>177</v>
      </c>
      <c r="J167" s="81"/>
      <c r="K167" s="81"/>
    </row>
    <row r="179" spans="6:7">
      <c r="F179" s="107"/>
    </row>
    <row r="180" spans="6:7">
      <c r="F180" s="107"/>
    </row>
    <row r="181" spans="6:7">
      <c r="F181" s="108"/>
    </row>
    <row r="182" spans="6:7">
      <c r="F182" s="108"/>
      <c r="G182" s="107"/>
    </row>
    <row r="183" spans="6:7">
      <c r="F183" s="108"/>
    </row>
  </sheetData>
  <mergeCells count="35">
    <mergeCell ref="F82:F84"/>
    <mergeCell ref="E160:E161"/>
    <mergeCell ref="E157:E158"/>
    <mergeCell ref="K145:L145"/>
    <mergeCell ref="J144:J146"/>
    <mergeCell ref="K144:N144"/>
    <mergeCell ref="E154:E155"/>
    <mergeCell ref="F90:F94"/>
    <mergeCell ref="L155:N160"/>
    <mergeCell ref="F108:F112"/>
    <mergeCell ref="F114:F118"/>
    <mergeCell ref="M145:N145"/>
    <mergeCell ref="E17:E66"/>
    <mergeCell ref="F21:F23"/>
    <mergeCell ref="G38:G43"/>
    <mergeCell ref="E163:E167"/>
    <mergeCell ref="I79:I94"/>
    <mergeCell ref="F120:F124"/>
    <mergeCell ref="G134:G136"/>
    <mergeCell ref="F134:F136"/>
    <mergeCell ref="F140:F145"/>
    <mergeCell ref="E68:E94"/>
    <mergeCell ref="E96:E136"/>
    <mergeCell ref="I68:I77"/>
    <mergeCell ref="F147:F152"/>
    <mergeCell ref="E138:E152"/>
    <mergeCell ref="F126:F129"/>
    <mergeCell ref="F73:F75"/>
    <mergeCell ref="F56:F58"/>
    <mergeCell ref="J38:L38"/>
    <mergeCell ref="F29:F32"/>
    <mergeCell ref="H38:H43"/>
    <mergeCell ref="F45:F51"/>
    <mergeCell ref="H56:H58"/>
    <mergeCell ref="F38:F43"/>
  </mergeCells>
  <dataValidations count="1">
    <dataValidation type="list" allowBlank="1" showInputMessage="1" showErrorMessage="1" sqref="B2" xr:uid="{3F3BB0CF-476A-4E88-926E-AFCC2958D576}">
      <formula1>NOMBRE_BANCO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Check Box 1">
              <controlPr defaultSize="0" autoFill="0" autoLine="0" autoPict="0">
                <anchor moveWithCells="1">
                  <from>
                    <xdr:col>11</xdr:col>
                    <xdr:colOff>57150</xdr:colOff>
                    <xdr:row>38</xdr:row>
                    <xdr:rowOff>12700</xdr:rowOff>
                  </from>
                  <to>
                    <xdr:col>11</xdr:col>
                    <xdr:colOff>298450</xdr:colOff>
                    <xdr:row>39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Check Box 2">
              <controlPr defaultSize="0" autoFill="0" autoLine="0" autoPict="0">
                <anchor moveWithCells="1">
                  <from>
                    <xdr:col>11</xdr:col>
                    <xdr:colOff>69850</xdr:colOff>
                    <xdr:row>39</xdr:row>
                    <xdr:rowOff>0</xdr:rowOff>
                  </from>
                  <to>
                    <xdr:col>11</xdr:col>
                    <xdr:colOff>304800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6" name="Check Box 3">
              <controlPr defaultSize="0" autoFill="0" autoLine="0" autoPict="0">
                <anchor moveWithCells="1">
                  <from>
                    <xdr:col>11</xdr:col>
                    <xdr:colOff>69850</xdr:colOff>
                    <xdr:row>40</xdr:row>
                    <xdr:rowOff>0</xdr:rowOff>
                  </from>
                  <to>
                    <xdr:col>11</xdr:col>
                    <xdr:colOff>304800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2" r:id="rId7" name="Check Box 22">
              <controlPr defaultSize="0" autoFill="0" autoLine="0" autoPict="0">
                <anchor moveWithCells="1">
                  <from>
                    <xdr:col>1</xdr:col>
                    <xdr:colOff>742950</xdr:colOff>
                    <xdr:row>15</xdr:row>
                    <xdr:rowOff>152400</xdr:rowOff>
                  </from>
                  <to>
                    <xdr:col>1</xdr:col>
                    <xdr:colOff>1123950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3" r:id="rId8" name="Check Box 23">
              <controlPr defaultSize="0" autoFill="0" autoLine="0" autoPict="0">
                <anchor moveWithCells="1">
                  <from>
                    <xdr:col>1</xdr:col>
                    <xdr:colOff>736600</xdr:colOff>
                    <xdr:row>16</xdr:row>
                    <xdr:rowOff>146050</xdr:rowOff>
                  </from>
                  <to>
                    <xdr:col>1</xdr:col>
                    <xdr:colOff>1117600</xdr:colOff>
                    <xdr:row>18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4" r:id="rId9" name="Check Box 24">
              <controlPr defaultSize="0" autoFill="0" autoLine="0" autoPict="0">
                <anchor moveWithCells="1">
                  <from>
                    <xdr:col>1</xdr:col>
                    <xdr:colOff>736600</xdr:colOff>
                    <xdr:row>17</xdr:row>
                    <xdr:rowOff>146050</xdr:rowOff>
                  </from>
                  <to>
                    <xdr:col>1</xdr:col>
                    <xdr:colOff>1117600</xdr:colOff>
                    <xdr:row>19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5" r:id="rId10" name="Check Box 25">
              <controlPr defaultSize="0" autoFill="0" autoLine="0" autoPict="0">
                <anchor moveWithCells="1">
                  <from>
                    <xdr:col>1</xdr:col>
                    <xdr:colOff>736600</xdr:colOff>
                    <xdr:row>18</xdr:row>
                    <xdr:rowOff>146050</xdr:rowOff>
                  </from>
                  <to>
                    <xdr:col>1</xdr:col>
                    <xdr:colOff>1117600</xdr:colOff>
                    <xdr:row>20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6" r:id="rId11" name="Check Box 26">
              <controlPr defaultSize="0" autoFill="0" autoLine="0" autoPict="0">
                <anchor moveWithCells="1">
                  <from>
                    <xdr:col>1</xdr:col>
                    <xdr:colOff>736600</xdr:colOff>
                    <xdr:row>19</xdr:row>
                    <xdr:rowOff>133350</xdr:rowOff>
                  </from>
                  <to>
                    <xdr:col>1</xdr:col>
                    <xdr:colOff>1117600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7" r:id="rId12" name="Check Box 27">
              <controlPr defaultSize="0" autoFill="0" autoLine="0" autoPict="0">
                <anchor moveWithCells="1">
                  <from>
                    <xdr:col>1</xdr:col>
                    <xdr:colOff>736600</xdr:colOff>
                    <xdr:row>20</xdr:row>
                    <xdr:rowOff>133350</xdr:rowOff>
                  </from>
                  <to>
                    <xdr:col>1</xdr:col>
                    <xdr:colOff>1117600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8" r:id="rId13" name="Check Box 28">
              <controlPr defaultSize="0" autoFill="0" autoLine="0" autoPict="0">
                <anchor moveWithCells="1">
                  <from>
                    <xdr:col>1</xdr:col>
                    <xdr:colOff>736600</xdr:colOff>
                    <xdr:row>23</xdr:row>
                    <xdr:rowOff>184150</xdr:rowOff>
                  </from>
                  <to>
                    <xdr:col>1</xdr:col>
                    <xdr:colOff>1409700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9" r:id="rId14" name="Check Box 29">
              <controlPr defaultSize="0" autoFill="0" autoLine="0" autoPict="0">
                <anchor moveWithCells="1">
                  <from>
                    <xdr:col>1</xdr:col>
                    <xdr:colOff>736600</xdr:colOff>
                    <xdr:row>24</xdr:row>
                    <xdr:rowOff>184150</xdr:rowOff>
                  </from>
                  <to>
                    <xdr:col>1</xdr:col>
                    <xdr:colOff>1409700</xdr:colOff>
                    <xdr:row>26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7" r:id="rId15" name="Check Box 37">
              <controlPr defaultSize="0" autoFill="0" autoLine="0" autoPict="0">
                <anchor moveWithCells="1">
                  <from>
                    <xdr:col>1</xdr:col>
                    <xdr:colOff>736600</xdr:colOff>
                    <xdr:row>23</xdr:row>
                    <xdr:rowOff>184150</xdr:rowOff>
                  </from>
                  <to>
                    <xdr:col>1</xdr:col>
                    <xdr:colOff>1409700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8" r:id="rId16" name="Check Box 38">
              <controlPr defaultSize="0" autoFill="0" autoLine="0" autoPict="0">
                <anchor moveWithCells="1">
                  <from>
                    <xdr:col>1</xdr:col>
                    <xdr:colOff>736600</xdr:colOff>
                    <xdr:row>24</xdr:row>
                    <xdr:rowOff>184150</xdr:rowOff>
                  </from>
                  <to>
                    <xdr:col>1</xdr:col>
                    <xdr:colOff>1409700</xdr:colOff>
                    <xdr:row>26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9" r:id="rId17" name="Check Box 39">
              <controlPr defaultSize="0" autoFill="0" autoLine="0" autoPict="0">
                <anchor moveWithCells="1">
                  <from>
                    <xdr:col>1</xdr:col>
                    <xdr:colOff>736600</xdr:colOff>
                    <xdr:row>23</xdr:row>
                    <xdr:rowOff>184150</xdr:rowOff>
                  </from>
                  <to>
                    <xdr:col>1</xdr:col>
                    <xdr:colOff>1409700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0" r:id="rId18" name="Check Box 40">
              <controlPr defaultSize="0" autoFill="0" autoLine="0" autoPict="0">
                <anchor moveWithCells="1">
                  <from>
                    <xdr:col>1</xdr:col>
                    <xdr:colOff>736600</xdr:colOff>
                    <xdr:row>24</xdr:row>
                    <xdr:rowOff>184150</xdr:rowOff>
                  </from>
                  <to>
                    <xdr:col>1</xdr:col>
                    <xdr:colOff>1409700</xdr:colOff>
                    <xdr:row>26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1" r:id="rId19" name="Check Box 41">
              <controlPr defaultSize="0" autoFill="0" autoLine="0" autoPict="0">
                <anchor moveWithCells="1">
                  <from>
                    <xdr:col>1</xdr:col>
                    <xdr:colOff>736600</xdr:colOff>
                    <xdr:row>23</xdr:row>
                    <xdr:rowOff>184150</xdr:rowOff>
                  </from>
                  <to>
                    <xdr:col>1</xdr:col>
                    <xdr:colOff>1409700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2" r:id="rId20" name="Check Box 42">
              <controlPr defaultSize="0" autoFill="0" autoLine="0" autoPict="0">
                <anchor moveWithCells="1">
                  <from>
                    <xdr:col>1</xdr:col>
                    <xdr:colOff>736600</xdr:colOff>
                    <xdr:row>24</xdr:row>
                    <xdr:rowOff>184150</xdr:rowOff>
                  </from>
                  <to>
                    <xdr:col>1</xdr:col>
                    <xdr:colOff>1409700</xdr:colOff>
                    <xdr:row>26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4" r:id="rId21" name="Check Box 54">
              <controlPr defaultSize="0" autoFill="0" autoLine="0" autoPict="0">
                <anchor moveWithCells="1">
                  <from>
                    <xdr:col>1</xdr:col>
                    <xdr:colOff>717550</xdr:colOff>
                    <xdr:row>21</xdr:row>
                    <xdr:rowOff>165100</xdr:rowOff>
                  </from>
                  <to>
                    <xdr:col>1</xdr:col>
                    <xdr:colOff>1098550</xdr:colOff>
                    <xdr:row>23</xdr:row>
                    <xdr:rowOff>50800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CB926B0-3C96-4D92-90DA-4B0CBAA50079}">
          <x14:formula1>
            <xm:f>'Bancos y listas'!$K$2:$K$4</xm:f>
          </x14:formula1>
          <xm:sqref>B27</xm:sqref>
        </x14:dataValidation>
        <x14:dataValidation type="list" allowBlank="1" showInputMessage="1" showErrorMessage="1" xr:uid="{C4BE1312-5C69-48B2-BCCB-812AB5A8F4C2}">
          <x14:formula1>
            <xm:f>'Bancos y listas'!$O$2:$O$3</xm:f>
          </x14:formula1>
          <xm:sqref>B28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5C979-89FF-4751-86D5-CBC9D272A80E}">
  <sheetPr codeName="Hoja4">
    <tabColor theme="7" tint="0.39997558519241921"/>
  </sheetPr>
  <dimension ref="A1:J166"/>
  <sheetViews>
    <sheetView topLeftCell="B1" workbookViewId="0">
      <selection activeCell="B3" sqref="B3"/>
    </sheetView>
  </sheetViews>
  <sheetFormatPr baseColWidth="10" defaultRowHeight="14.5"/>
  <cols>
    <col min="1" max="1" width="14.26953125" customWidth="1"/>
    <col min="2" max="2" width="11.54296875" bestFit="1" customWidth="1"/>
    <col min="3" max="3" width="16.81640625" bestFit="1" customWidth="1"/>
    <col min="4" max="4" width="13.26953125" bestFit="1" customWidth="1"/>
    <col min="5" max="5" width="18.54296875" bestFit="1" customWidth="1"/>
    <col min="6" max="6" width="27.7265625" bestFit="1" customWidth="1"/>
    <col min="7" max="7" width="19.453125" bestFit="1" customWidth="1"/>
    <col min="8" max="8" width="17.453125" bestFit="1" customWidth="1"/>
    <col min="9" max="9" width="11.7265625" bestFit="1" customWidth="1"/>
    <col min="10" max="10" width="109.81640625" customWidth="1"/>
  </cols>
  <sheetData>
    <row r="1" spans="1:8">
      <c r="A1" s="4" t="s">
        <v>205</v>
      </c>
      <c r="B1" s="4" t="s">
        <v>157</v>
      </c>
      <c r="C1" s="4" t="s">
        <v>206</v>
      </c>
      <c r="D1" s="4" t="s">
        <v>207</v>
      </c>
      <c r="E1" s="4" t="s">
        <v>183</v>
      </c>
      <c r="F1" s="4" t="s">
        <v>184</v>
      </c>
      <c r="G1" s="4" t="s">
        <v>185</v>
      </c>
      <c r="H1" s="4" t="s">
        <v>186</v>
      </c>
    </row>
    <row r="2" spans="1:8">
      <c r="A2" s="28" t="s">
        <v>0</v>
      </c>
      <c r="B2" s="28">
        <v>20230602</v>
      </c>
      <c r="C2" s="28">
        <v>20230604</v>
      </c>
      <c r="D2" s="28">
        <v>424994</v>
      </c>
      <c r="E2" s="28" t="s">
        <v>208</v>
      </c>
      <c r="F2" s="28" t="s">
        <v>204</v>
      </c>
      <c r="G2" s="28" t="s">
        <v>162</v>
      </c>
      <c r="H2" s="28" t="s">
        <v>793</v>
      </c>
    </row>
    <row r="3" spans="1:8" s="28" customFormat="1">
      <c r="A3" s="28" t="s">
        <v>0</v>
      </c>
      <c r="B3" s="28">
        <v>20230602</v>
      </c>
      <c r="C3" s="28">
        <v>20230604</v>
      </c>
      <c r="D3" s="28">
        <v>424994</v>
      </c>
      <c r="E3" s="28" t="s">
        <v>208</v>
      </c>
      <c r="F3" s="28" t="s">
        <v>203</v>
      </c>
      <c r="G3" s="28" t="s">
        <v>162</v>
      </c>
      <c r="H3" s="28" t="s">
        <v>792</v>
      </c>
    </row>
    <row r="4" spans="1:8">
      <c r="A4" s="28" t="s">
        <v>0</v>
      </c>
      <c r="B4" s="28">
        <v>20230526</v>
      </c>
      <c r="C4" s="28">
        <v>20230602</v>
      </c>
      <c r="D4" s="28">
        <v>424994</v>
      </c>
      <c r="E4" s="28" t="s">
        <v>208</v>
      </c>
      <c r="F4" s="28" t="s">
        <v>204</v>
      </c>
      <c r="G4" s="28" t="s">
        <v>162</v>
      </c>
      <c r="H4" s="28" t="s">
        <v>756</v>
      </c>
    </row>
    <row r="5" spans="1:8">
      <c r="A5" s="28" t="s">
        <v>0</v>
      </c>
      <c r="B5" s="28">
        <v>20230526</v>
      </c>
      <c r="C5" s="28">
        <v>20230602</v>
      </c>
      <c r="D5" s="28">
        <v>424994</v>
      </c>
      <c r="E5" s="28" t="s">
        <v>208</v>
      </c>
      <c r="F5" s="28" t="s">
        <v>203</v>
      </c>
      <c r="G5" s="28" t="s">
        <v>162</v>
      </c>
      <c r="H5" s="28" t="s">
        <v>755</v>
      </c>
    </row>
    <row r="6" spans="1:8">
      <c r="A6" s="28" t="s">
        <v>0</v>
      </c>
      <c r="B6" s="28">
        <v>20230631</v>
      </c>
      <c r="C6" s="28">
        <v>20230602</v>
      </c>
      <c r="D6" s="28">
        <v>424994</v>
      </c>
      <c r="E6" s="28" t="s">
        <v>208</v>
      </c>
      <c r="F6" s="28" t="s">
        <v>204</v>
      </c>
      <c r="G6" s="28" t="s">
        <v>162</v>
      </c>
      <c r="H6" s="28" t="s">
        <v>790</v>
      </c>
    </row>
    <row r="7" spans="1:8" s="28" customFormat="1">
      <c r="A7" s="28" t="s">
        <v>0</v>
      </c>
      <c r="B7" s="28">
        <v>20230631</v>
      </c>
      <c r="C7" s="28">
        <v>20230602</v>
      </c>
      <c r="D7" s="28">
        <v>424994</v>
      </c>
      <c r="E7" s="28" t="s">
        <v>208</v>
      </c>
      <c r="F7" s="28" t="s">
        <v>203</v>
      </c>
      <c r="G7" s="28" t="s">
        <v>162</v>
      </c>
      <c r="H7" s="28" t="s">
        <v>791</v>
      </c>
    </row>
    <row r="8" spans="1:8">
      <c r="A8" s="28" t="s">
        <v>0</v>
      </c>
      <c r="B8" s="28">
        <v>20230523</v>
      </c>
      <c r="C8" s="28">
        <v>20230525</v>
      </c>
      <c r="D8" s="28">
        <v>424994</v>
      </c>
      <c r="E8" s="28" t="s">
        <v>208</v>
      </c>
      <c r="F8" s="28" t="s">
        <v>204</v>
      </c>
      <c r="G8" s="28" t="s">
        <v>162</v>
      </c>
      <c r="H8" s="28" t="s">
        <v>789</v>
      </c>
    </row>
    <row r="9" spans="1:8" s="28" customFormat="1">
      <c r="A9" s="28" t="s">
        <v>0</v>
      </c>
      <c r="B9" s="28">
        <v>20230523</v>
      </c>
      <c r="C9" s="28">
        <v>20230525</v>
      </c>
      <c r="D9" s="28">
        <v>424994</v>
      </c>
      <c r="E9" s="28" t="s">
        <v>208</v>
      </c>
      <c r="F9" s="28" t="s">
        <v>203</v>
      </c>
      <c r="G9" s="28" t="s">
        <v>162</v>
      </c>
      <c r="H9" s="28" t="s">
        <v>788</v>
      </c>
    </row>
    <row r="10" spans="1:8">
      <c r="A10" s="28" t="s">
        <v>0</v>
      </c>
      <c r="B10" s="28">
        <v>20230605</v>
      </c>
      <c r="C10" s="28">
        <v>20230609</v>
      </c>
      <c r="D10" s="28">
        <v>424994</v>
      </c>
      <c r="E10" s="28" t="s">
        <v>208</v>
      </c>
      <c r="F10" s="28" t="s">
        <v>204</v>
      </c>
      <c r="G10" s="28" t="s">
        <v>162</v>
      </c>
      <c r="H10" s="28" t="s">
        <v>787</v>
      </c>
    </row>
    <row r="11" spans="1:8">
      <c r="A11" s="28" t="s">
        <v>0</v>
      </c>
      <c r="B11" s="28">
        <v>20230605</v>
      </c>
      <c r="C11" s="28">
        <v>20230609</v>
      </c>
      <c r="D11" s="28">
        <v>424994</v>
      </c>
      <c r="E11" s="28" t="s">
        <v>208</v>
      </c>
      <c r="F11" s="28" t="s">
        <v>203</v>
      </c>
      <c r="G11" s="28" t="s">
        <v>162</v>
      </c>
      <c r="H11" s="28" t="s">
        <v>786</v>
      </c>
    </row>
    <row r="12" spans="1:8">
      <c r="A12" s="28" t="s">
        <v>0</v>
      </c>
      <c r="B12" s="28">
        <v>20230607</v>
      </c>
      <c r="C12" s="28">
        <v>20230609</v>
      </c>
      <c r="D12" s="28">
        <v>424994</v>
      </c>
      <c r="E12" s="28" t="s">
        <v>208</v>
      </c>
      <c r="F12" s="28" t="s">
        <v>204</v>
      </c>
      <c r="G12" s="28" t="s">
        <v>162</v>
      </c>
      <c r="H12" s="28" t="s">
        <v>785</v>
      </c>
    </row>
    <row r="13" spans="1:8" s="28" customFormat="1">
      <c r="A13" s="28" t="s">
        <v>0</v>
      </c>
      <c r="B13" s="28">
        <v>20230607</v>
      </c>
      <c r="C13" s="28">
        <v>20230609</v>
      </c>
      <c r="D13" s="28">
        <v>424994</v>
      </c>
      <c r="E13" s="28" t="s">
        <v>208</v>
      </c>
      <c r="F13" s="28" t="s">
        <v>203</v>
      </c>
      <c r="G13" s="28" t="s">
        <v>162</v>
      </c>
      <c r="H13" s="28" t="s">
        <v>784</v>
      </c>
    </row>
    <row r="14" spans="1:8">
      <c r="A14" s="28" t="s">
        <v>0</v>
      </c>
      <c r="B14" s="28">
        <v>20230606</v>
      </c>
      <c r="C14" s="28">
        <v>20230608</v>
      </c>
      <c r="D14" s="28">
        <v>424994</v>
      </c>
      <c r="E14" s="28" t="s">
        <v>208</v>
      </c>
      <c r="F14" s="28" t="s">
        <v>204</v>
      </c>
      <c r="G14" s="28" t="s">
        <v>162</v>
      </c>
      <c r="H14" s="28" t="s">
        <v>783</v>
      </c>
    </row>
    <row r="15" spans="1:8" s="28" customFormat="1">
      <c r="A15" s="28" t="s">
        <v>0</v>
      </c>
      <c r="B15" s="28">
        <v>20230606</v>
      </c>
      <c r="C15" s="28">
        <v>20230608</v>
      </c>
      <c r="D15" s="28">
        <v>424994</v>
      </c>
      <c r="E15" s="28" t="s">
        <v>208</v>
      </c>
      <c r="F15" s="28" t="s">
        <v>203</v>
      </c>
      <c r="G15" s="28" t="s">
        <v>162</v>
      </c>
      <c r="H15" s="28" t="s">
        <v>782</v>
      </c>
    </row>
    <row r="16" spans="1:8">
      <c r="A16" s="26" t="s">
        <v>0</v>
      </c>
      <c r="B16" s="27">
        <v>20230526</v>
      </c>
      <c r="C16" s="27">
        <v>20230528</v>
      </c>
      <c r="D16" s="27">
        <v>424994</v>
      </c>
      <c r="E16" s="26" t="s">
        <v>208</v>
      </c>
      <c r="F16" s="26" t="s">
        <v>204</v>
      </c>
      <c r="G16" s="26" t="s">
        <v>162</v>
      </c>
      <c r="H16" s="26" t="s">
        <v>756</v>
      </c>
    </row>
    <row r="17" spans="1:8">
      <c r="A17" s="26" t="s">
        <v>0</v>
      </c>
      <c r="B17" s="27">
        <v>20230526</v>
      </c>
      <c r="C17" s="27">
        <v>20230528</v>
      </c>
      <c r="D17" s="27">
        <v>424994</v>
      </c>
      <c r="E17" s="26" t="s">
        <v>208</v>
      </c>
      <c r="F17" s="26" t="s">
        <v>203</v>
      </c>
      <c r="G17" s="26" t="s">
        <v>162</v>
      </c>
      <c r="H17" s="26" t="s">
        <v>755</v>
      </c>
    </row>
    <row r="18" spans="1:8">
      <c r="A18" s="28" t="s">
        <v>0</v>
      </c>
      <c r="B18" s="28">
        <v>20230516</v>
      </c>
      <c r="C18" s="28">
        <v>20230518</v>
      </c>
      <c r="D18" s="28">
        <v>424994</v>
      </c>
      <c r="E18" s="28" t="s">
        <v>208</v>
      </c>
      <c r="F18" s="17" t="s">
        <v>203</v>
      </c>
      <c r="G18" s="28" t="s">
        <v>162</v>
      </c>
      <c r="H18" s="28" t="s">
        <v>705</v>
      </c>
    </row>
    <row r="19" spans="1:8" s="28" customFormat="1">
      <c r="A19" s="28" t="s">
        <v>0</v>
      </c>
      <c r="B19" s="28">
        <v>20230516</v>
      </c>
      <c r="C19" s="28">
        <v>20230518</v>
      </c>
      <c r="D19" s="28">
        <v>424994</v>
      </c>
      <c r="E19" s="28" t="s">
        <v>208</v>
      </c>
      <c r="F19" s="17" t="s">
        <v>204</v>
      </c>
      <c r="G19" s="28" t="s">
        <v>162</v>
      </c>
      <c r="H19" s="28" t="s">
        <v>706</v>
      </c>
    </row>
    <row r="20" spans="1:8">
      <c r="A20" s="28" t="s">
        <v>0</v>
      </c>
      <c r="B20" s="28">
        <v>20230512</v>
      </c>
      <c r="C20" s="28">
        <v>20230514</v>
      </c>
      <c r="D20" s="28">
        <v>424994</v>
      </c>
      <c r="E20" s="28" t="s">
        <v>208</v>
      </c>
      <c r="F20" s="17" t="s">
        <v>203</v>
      </c>
      <c r="G20" s="28" t="s">
        <v>162</v>
      </c>
      <c r="H20" s="28" t="s">
        <v>661</v>
      </c>
    </row>
    <row r="21" spans="1:8">
      <c r="A21" s="28" t="s">
        <v>0</v>
      </c>
      <c r="B21" s="28">
        <v>20230512</v>
      </c>
      <c r="C21" s="28">
        <v>20230514</v>
      </c>
      <c r="D21" s="28">
        <v>424994</v>
      </c>
      <c r="E21" s="28" t="s">
        <v>208</v>
      </c>
      <c r="F21" s="17" t="s">
        <v>204</v>
      </c>
      <c r="G21" s="28" t="s">
        <v>162</v>
      </c>
      <c r="H21" s="28" t="s">
        <v>662</v>
      </c>
    </row>
    <row r="22" spans="1:8" s="18" customFormat="1">
      <c r="A22" s="28" t="s">
        <v>35</v>
      </c>
      <c r="B22" s="28">
        <v>20230102</v>
      </c>
      <c r="C22" s="28">
        <v>20230104</v>
      </c>
      <c r="D22" s="28">
        <v>424994</v>
      </c>
      <c r="E22" s="28" t="s">
        <v>208</v>
      </c>
      <c r="F22" s="17" t="s">
        <v>203</v>
      </c>
      <c r="G22" s="28" t="s">
        <v>162</v>
      </c>
      <c r="H22" s="28" t="s">
        <v>386</v>
      </c>
    </row>
    <row r="23" spans="1:8">
      <c r="A23" s="28" t="s">
        <v>35</v>
      </c>
      <c r="B23" s="28">
        <v>20221222</v>
      </c>
      <c r="C23" s="28">
        <v>20221224</v>
      </c>
      <c r="D23" s="28">
        <v>424994</v>
      </c>
      <c r="E23" s="28" t="s">
        <v>208</v>
      </c>
      <c r="F23" s="17" t="s">
        <v>204</v>
      </c>
      <c r="G23" s="28" t="s">
        <v>162</v>
      </c>
      <c r="H23" s="28" t="s">
        <v>385</v>
      </c>
    </row>
    <row r="24" spans="1:8" s="15" customFormat="1">
      <c r="A24" s="28" t="s">
        <v>35</v>
      </c>
      <c r="B24" s="28">
        <v>20221222</v>
      </c>
      <c r="C24" s="28">
        <v>20221224</v>
      </c>
      <c r="D24" s="28">
        <v>424994</v>
      </c>
      <c r="E24" s="28" t="s">
        <v>208</v>
      </c>
      <c r="F24" s="17" t="s">
        <v>203</v>
      </c>
      <c r="G24" s="28" t="s">
        <v>162</v>
      </c>
      <c r="H24" s="28" t="s">
        <v>384</v>
      </c>
    </row>
    <row r="25" spans="1:8">
      <c r="A25" s="17" t="s">
        <v>35</v>
      </c>
      <c r="B25" s="17">
        <v>20221221</v>
      </c>
      <c r="C25" s="17">
        <v>20221223</v>
      </c>
      <c r="D25" s="17">
        <v>424994</v>
      </c>
      <c r="E25" s="17" t="s">
        <v>208</v>
      </c>
      <c r="F25" s="17" t="s">
        <v>204</v>
      </c>
      <c r="G25" s="17" t="s">
        <v>162</v>
      </c>
      <c r="H25" s="17" t="s">
        <v>383</v>
      </c>
    </row>
    <row r="26" spans="1:8" s="15" customFormat="1">
      <c r="A26" s="17" t="s">
        <v>35</v>
      </c>
      <c r="B26" s="17">
        <v>20221221</v>
      </c>
      <c r="C26" s="17">
        <v>20221223</v>
      </c>
      <c r="D26" s="17">
        <v>424994</v>
      </c>
      <c r="E26" s="17" t="s">
        <v>208</v>
      </c>
      <c r="F26" s="17" t="s">
        <v>203</v>
      </c>
      <c r="G26" s="17" t="s">
        <v>162</v>
      </c>
      <c r="H26" s="17" t="s">
        <v>382</v>
      </c>
    </row>
    <row r="27" spans="1:8">
      <c r="A27" s="28" t="s">
        <v>348</v>
      </c>
      <c r="B27" s="28">
        <v>20221205</v>
      </c>
      <c r="C27" s="28">
        <v>20221207</v>
      </c>
      <c r="D27" s="28">
        <v>424994</v>
      </c>
      <c r="E27" s="28" t="s">
        <v>208</v>
      </c>
      <c r="F27" s="28" t="s">
        <v>204</v>
      </c>
      <c r="G27" s="28" t="s">
        <v>162</v>
      </c>
      <c r="H27" s="28" t="s">
        <v>371</v>
      </c>
    </row>
    <row r="28" spans="1:8" s="15" customFormat="1">
      <c r="A28" s="28" t="s">
        <v>348</v>
      </c>
      <c r="B28" s="28">
        <v>20221205</v>
      </c>
      <c r="C28" s="28">
        <v>20221207</v>
      </c>
      <c r="D28" s="28">
        <v>424994</v>
      </c>
      <c r="E28" s="28" t="s">
        <v>208</v>
      </c>
      <c r="F28" s="28" t="s">
        <v>203</v>
      </c>
      <c r="G28" s="28" t="s">
        <v>162</v>
      </c>
      <c r="H28" s="28" t="s">
        <v>370</v>
      </c>
    </row>
    <row r="29" spans="1:8">
      <c r="A29" s="28" t="s">
        <v>348</v>
      </c>
      <c r="B29" s="28">
        <v>20221129</v>
      </c>
      <c r="C29" s="28">
        <v>20221201</v>
      </c>
      <c r="D29" s="28">
        <v>424994</v>
      </c>
      <c r="E29" s="28" t="s">
        <v>208</v>
      </c>
      <c r="F29" s="28" t="s">
        <v>204</v>
      </c>
      <c r="G29" s="28" t="s">
        <v>162</v>
      </c>
      <c r="H29" s="28" t="s">
        <v>366</v>
      </c>
    </row>
    <row r="30" spans="1:8" s="15" customFormat="1">
      <c r="A30" s="28" t="s">
        <v>348</v>
      </c>
      <c r="B30" s="28">
        <v>20221129</v>
      </c>
      <c r="C30" s="28">
        <v>20221201</v>
      </c>
      <c r="D30" s="28">
        <v>424994</v>
      </c>
      <c r="E30" s="28" t="s">
        <v>208</v>
      </c>
      <c r="F30" s="28" t="s">
        <v>203</v>
      </c>
      <c r="G30" s="28" t="s">
        <v>162</v>
      </c>
      <c r="H30" s="28" t="s">
        <v>365</v>
      </c>
    </row>
    <row r="31" spans="1:8">
      <c r="A31" s="17" t="s">
        <v>348</v>
      </c>
      <c r="B31" s="17">
        <v>20221128</v>
      </c>
      <c r="C31" s="17">
        <v>20221130</v>
      </c>
      <c r="D31" s="17">
        <v>424994</v>
      </c>
      <c r="E31" s="17" t="s">
        <v>208</v>
      </c>
      <c r="F31" s="17" t="s">
        <v>204</v>
      </c>
      <c r="G31" s="17" t="s">
        <v>162</v>
      </c>
      <c r="H31" s="17" t="s">
        <v>350</v>
      </c>
    </row>
    <row r="32" spans="1:8">
      <c r="A32" s="17" t="s">
        <v>348</v>
      </c>
      <c r="B32" s="17">
        <v>20221128</v>
      </c>
      <c r="C32" s="17">
        <v>20221130</v>
      </c>
      <c r="D32" s="17">
        <v>424994</v>
      </c>
      <c r="E32" s="17" t="s">
        <v>208</v>
      </c>
      <c r="F32" s="17" t="s">
        <v>203</v>
      </c>
      <c r="G32" s="17" t="s">
        <v>162</v>
      </c>
      <c r="H32" s="17" t="s">
        <v>349</v>
      </c>
    </row>
    <row r="33" spans="1:10">
      <c r="A33" s="28" t="s">
        <v>0</v>
      </c>
      <c r="B33" s="28">
        <v>20221103</v>
      </c>
      <c r="C33" s="28">
        <v>20221105</v>
      </c>
      <c r="D33" s="28">
        <v>424994</v>
      </c>
      <c r="E33" s="28" t="s">
        <v>208</v>
      </c>
      <c r="F33" s="28" t="s">
        <v>204</v>
      </c>
      <c r="G33" s="28" t="s">
        <v>162</v>
      </c>
      <c r="H33" s="28" t="s">
        <v>332</v>
      </c>
    </row>
    <row r="34" spans="1:10" s="15" customFormat="1">
      <c r="A34" s="28" t="s">
        <v>0</v>
      </c>
      <c r="B34" s="28">
        <v>20221103</v>
      </c>
      <c r="C34" s="28">
        <v>20221105</v>
      </c>
      <c r="D34" s="28">
        <v>424994</v>
      </c>
      <c r="E34" s="28" t="s">
        <v>208</v>
      </c>
      <c r="F34" s="28" t="s">
        <v>203</v>
      </c>
      <c r="G34" s="28" t="s">
        <v>162</v>
      </c>
      <c r="H34" s="28" t="s">
        <v>331</v>
      </c>
    </row>
    <row r="35" spans="1:10">
      <c r="A35" s="26" t="s">
        <v>0</v>
      </c>
      <c r="B35" s="27">
        <v>20221010</v>
      </c>
      <c r="C35" s="27">
        <v>20221012</v>
      </c>
      <c r="D35" s="27">
        <v>424994</v>
      </c>
      <c r="E35" s="26" t="s">
        <v>208</v>
      </c>
      <c r="F35" s="26" t="s">
        <v>204</v>
      </c>
      <c r="G35" s="26" t="s">
        <v>162</v>
      </c>
      <c r="H35" s="26" t="s">
        <v>246</v>
      </c>
    </row>
    <row r="36" spans="1:10">
      <c r="A36" s="26" t="s">
        <v>0</v>
      </c>
      <c r="B36" s="27">
        <v>20221010</v>
      </c>
      <c r="C36" s="27">
        <v>20221012</v>
      </c>
      <c r="D36" s="27">
        <v>424994</v>
      </c>
      <c r="E36" s="26" t="s">
        <v>208</v>
      </c>
      <c r="F36" s="26" t="s">
        <v>203</v>
      </c>
      <c r="G36" s="26" t="s">
        <v>162</v>
      </c>
      <c r="H36" s="26" t="s">
        <v>245</v>
      </c>
    </row>
    <row r="37" spans="1:10">
      <c r="A37" s="28" t="s">
        <v>0</v>
      </c>
      <c r="B37" s="28">
        <v>20221005</v>
      </c>
      <c r="C37" s="28">
        <v>20221007</v>
      </c>
      <c r="D37" s="28">
        <v>424994</v>
      </c>
      <c r="E37" s="28" t="s">
        <v>208</v>
      </c>
      <c r="F37" s="28" t="s">
        <v>204</v>
      </c>
      <c r="G37" s="28" t="s">
        <v>162</v>
      </c>
      <c r="H37" s="28" t="s">
        <v>235</v>
      </c>
    </row>
    <row r="38" spans="1:10">
      <c r="A38" s="28" t="s">
        <v>0</v>
      </c>
      <c r="B38" s="28">
        <v>20221005</v>
      </c>
      <c r="C38" s="28">
        <v>20221007</v>
      </c>
      <c r="D38" s="28">
        <v>424994</v>
      </c>
      <c r="E38" s="28" t="s">
        <v>208</v>
      </c>
      <c r="F38" s="28" t="s">
        <v>203</v>
      </c>
      <c r="G38" s="28" t="s">
        <v>162</v>
      </c>
      <c r="H38" s="28" t="s">
        <v>236</v>
      </c>
      <c r="J38" s="15"/>
    </row>
    <row r="39" spans="1:10">
      <c r="A39" s="28" t="s">
        <v>0</v>
      </c>
      <c r="B39" s="28">
        <v>20221004</v>
      </c>
      <c r="C39" s="28">
        <v>20221006</v>
      </c>
      <c r="D39" s="28">
        <v>424994</v>
      </c>
      <c r="E39" s="28" t="s">
        <v>208</v>
      </c>
      <c r="F39" s="28" t="s">
        <v>204</v>
      </c>
      <c r="G39" s="28" t="s">
        <v>162</v>
      </c>
      <c r="H39" s="28" t="s">
        <v>237</v>
      </c>
    </row>
    <row r="40" spans="1:10">
      <c r="A40" s="28" t="s">
        <v>0</v>
      </c>
      <c r="B40" s="28">
        <v>20221004</v>
      </c>
      <c r="C40" s="28">
        <v>20221006</v>
      </c>
      <c r="D40" s="28">
        <v>424994</v>
      </c>
      <c r="E40" s="28" t="s">
        <v>208</v>
      </c>
      <c r="F40" s="28" t="s">
        <v>203</v>
      </c>
      <c r="G40" s="28" t="s">
        <v>162</v>
      </c>
      <c r="H40" s="28" t="s">
        <v>238</v>
      </c>
      <c r="J40" s="15"/>
    </row>
    <row r="41" spans="1:10">
      <c r="A41" s="29" t="s">
        <v>0</v>
      </c>
      <c r="B41" s="29">
        <v>20221003</v>
      </c>
      <c r="C41" s="29">
        <v>20221005</v>
      </c>
      <c r="D41" s="29">
        <v>424994</v>
      </c>
      <c r="E41" s="29" t="s">
        <v>208</v>
      </c>
      <c r="F41" s="29" t="s">
        <v>204</v>
      </c>
      <c r="G41" s="29" t="s">
        <v>162</v>
      </c>
      <c r="H41" s="29" t="s">
        <v>239</v>
      </c>
    </row>
    <row r="42" spans="1:10">
      <c r="A42" s="29" t="s">
        <v>0</v>
      </c>
      <c r="B42" s="29">
        <v>20221003</v>
      </c>
      <c r="C42" s="29">
        <v>20221005</v>
      </c>
      <c r="D42" s="29">
        <v>424994</v>
      </c>
      <c r="E42" s="29" t="s">
        <v>208</v>
      </c>
      <c r="F42" s="29" t="s">
        <v>203</v>
      </c>
      <c r="G42" s="29" t="s">
        <v>162</v>
      </c>
      <c r="H42" s="29" t="s">
        <v>240</v>
      </c>
    </row>
    <row r="43" spans="1:10">
      <c r="A43" s="28" t="s">
        <v>26</v>
      </c>
      <c r="B43" s="28">
        <v>20220920</v>
      </c>
      <c r="C43" s="28">
        <v>20220922</v>
      </c>
      <c r="D43" s="28">
        <v>424994</v>
      </c>
      <c r="E43" s="28" t="s">
        <v>208</v>
      </c>
      <c r="F43" s="17" t="s">
        <v>204</v>
      </c>
      <c r="G43" s="28" t="s">
        <v>162</v>
      </c>
      <c r="H43" s="17" t="s">
        <v>244</v>
      </c>
    </row>
    <row r="44" spans="1:10">
      <c r="A44" s="28" t="s">
        <v>26</v>
      </c>
      <c r="B44" s="28">
        <v>20220920</v>
      </c>
      <c r="C44" s="28">
        <v>20220922</v>
      </c>
      <c r="D44" s="28">
        <v>424994</v>
      </c>
      <c r="E44" s="28" t="s">
        <v>208</v>
      </c>
      <c r="F44" s="17" t="s">
        <v>203</v>
      </c>
      <c r="G44" s="28" t="s">
        <v>162</v>
      </c>
      <c r="H44" s="17" t="s">
        <v>243</v>
      </c>
    </row>
    <row r="45" spans="1:10">
      <c r="A45" s="28" t="s">
        <v>258</v>
      </c>
      <c r="B45" s="28">
        <v>20220921</v>
      </c>
      <c r="C45" s="28">
        <v>20220923</v>
      </c>
      <c r="D45" s="28">
        <v>424994</v>
      </c>
      <c r="E45" s="28" t="s">
        <v>208</v>
      </c>
      <c r="F45" s="17" t="s">
        <v>204</v>
      </c>
      <c r="G45" s="28" t="s">
        <v>162</v>
      </c>
      <c r="H45" s="28" t="s">
        <v>259</v>
      </c>
    </row>
    <row r="46" spans="1:10">
      <c r="A46" s="28" t="s">
        <v>258</v>
      </c>
      <c r="B46" s="28">
        <v>20220921</v>
      </c>
      <c r="C46" s="28">
        <v>20220923</v>
      </c>
      <c r="D46" s="28">
        <v>424994</v>
      </c>
      <c r="E46" s="28" t="s">
        <v>208</v>
      </c>
      <c r="F46" s="17" t="s">
        <v>203</v>
      </c>
      <c r="G46" s="28" t="s">
        <v>162</v>
      </c>
      <c r="H46" s="28" t="s">
        <v>260</v>
      </c>
    </row>
    <row r="47" spans="1:10">
      <c r="A47" s="375" t="s">
        <v>253</v>
      </c>
      <c r="B47" s="375"/>
      <c r="C47" s="375"/>
      <c r="D47" s="375"/>
      <c r="E47" s="17" t="s">
        <v>208</v>
      </c>
      <c r="F47" s="17" t="s">
        <v>251</v>
      </c>
      <c r="G47" s="17" t="s">
        <v>162</v>
      </c>
      <c r="H47" s="17" t="s">
        <v>249</v>
      </c>
    </row>
    <row r="48" spans="1:10">
      <c r="A48" s="375" t="s">
        <v>254</v>
      </c>
      <c r="B48" s="375"/>
      <c r="C48" s="375"/>
      <c r="D48" s="375"/>
      <c r="E48" s="17" t="s">
        <v>208</v>
      </c>
      <c r="F48" s="17" t="s">
        <v>252</v>
      </c>
      <c r="G48" s="17" t="s">
        <v>162</v>
      </c>
      <c r="H48" s="17" t="s">
        <v>250</v>
      </c>
    </row>
    <row r="166" spans="10:10">
      <c r="J166" t="s">
        <v>590</v>
      </c>
    </row>
  </sheetData>
  <autoFilter ref="A1:H48" xr:uid="{10E5C979-89FF-4751-86D5-CBC9D272A80E}"/>
  <mergeCells count="2">
    <mergeCell ref="A47:D47"/>
    <mergeCell ref="A48:D48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94BFD-0AEC-4724-8E51-B98AAC3BAE78}">
  <sheetPr codeName="Hoja9">
    <tabColor theme="7" tint="0.39997558519241921"/>
    <pageSetUpPr autoPageBreaks="0"/>
  </sheetPr>
  <dimension ref="A1:N138"/>
  <sheetViews>
    <sheetView topLeftCell="A70" zoomScale="88" zoomScaleNormal="88" workbookViewId="0">
      <selection activeCell="G5" sqref="G5"/>
    </sheetView>
  </sheetViews>
  <sheetFormatPr baseColWidth="10" defaultRowHeight="14.5"/>
  <cols>
    <col min="1" max="1" width="24.1796875" bestFit="1" customWidth="1"/>
    <col min="2" max="2" width="24.7265625" bestFit="1" customWidth="1"/>
    <col min="3" max="3" width="12.453125" bestFit="1" customWidth="1"/>
    <col min="4" max="4" width="13.7265625" bestFit="1" customWidth="1"/>
    <col min="6" max="6" width="48.7265625" style="60" bestFit="1" customWidth="1"/>
    <col min="7" max="7" width="87.7265625" customWidth="1"/>
    <col min="8" max="8" width="25.26953125" customWidth="1"/>
    <col min="9" max="9" width="23.81640625" bestFit="1" customWidth="1"/>
    <col min="10" max="14" width="13.7265625" customWidth="1"/>
  </cols>
  <sheetData>
    <row r="1" spans="1:13">
      <c r="A1" s="4" t="s">
        <v>136</v>
      </c>
      <c r="B1" s="4" t="s">
        <v>135</v>
      </c>
      <c r="C1" s="4" t="s">
        <v>134</v>
      </c>
    </row>
    <row r="2" spans="1:13" ht="15" customHeight="1">
      <c r="A2" s="4" t="s">
        <v>103</v>
      </c>
      <c r="B2" s="5" t="s">
        <v>24</v>
      </c>
      <c r="C2" s="5"/>
      <c r="F2" s="152" t="s">
        <v>139</v>
      </c>
      <c r="G2" s="35" t="str">
        <f>"CALL PGM(ELECTRON/CEC1835) PARM('B' '00"&amp;B4&amp;"')"</f>
        <v>CALL PGM(ELECTRON/CEC1835) PARM('B' '0019')</v>
      </c>
    </row>
    <row r="3" spans="1:13">
      <c r="A3" s="4" t="s">
        <v>104</v>
      </c>
      <c r="B3" s="6">
        <f>VLOOKUP(B2,'Bancos y listas'!B:C,2,FALSE)</f>
        <v>19</v>
      </c>
      <c r="C3" s="5"/>
    </row>
    <row r="4" spans="1:13">
      <c r="A4" s="4" t="s">
        <v>104</v>
      </c>
      <c r="B4" s="6" t="str">
        <f>REPT("0",2-LEN(B3))&amp;VLOOKUP(B2,'Bancos y listas'!B:C,2,FALSE)</f>
        <v>19</v>
      </c>
      <c r="C4" s="5"/>
      <c r="F4" s="56" t="s">
        <v>138</v>
      </c>
      <c r="G4" s="17" t="s">
        <v>109</v>
      </c>
    </row>
    <row r="5" spans="1:13">
      <c r="A5" s="4" t="s">
        <v>157</v>
      </c>
      <c r="B5" s="7">
        <v>20230404</v>
      </c>
      <c r="C5" s="5" t="s">
        <v>126</v>
      </c>
      <c r="M5" s="9"/>
    </row>
    <row r="6" spans="1:13">
      <c r="A6" s="8" t="s">
        <v>118</v>
      </c>
      <c r="B6" s="6">
        <v>409744</v>
      </c>
      <c r="C6" s="5"/>
      <c r="F6" s="376" t="s">
        <v>139</v>
      </c>
      <c r="G6" s="318" t="str">
        <f>"CALL PGM(ELECTRON/CEC1835) PARM('C' '00"&amp;B4&amp;"')"</f>
        <v>CALL PGM(ELECTRON/CEC1835) PARM('C' '0019')</v>
      </c>
      <c r="M6" s="9"/>
    </row>
    <row r="7" spans="1:13">
      <c r="A7" s="8" t="s">
        <v>117</v>
      </c>
      <c r="B7" s="6"/>
      <c r="C7" s="5"/>
      <c r="F7" s="376"/>
      <c r="G7" s="318"/>
      <c r="M7" s="9"/>
    </row>
    <row r="8" spans="1:13">
      <c r="A8" s="8" t="s">
        <v>119</v>
      </c>
      <c r="B8" s="6"/>
      <c r="C8" s="5"/>
      <c r="F8" s="376"/>
      <c r="G8" s="318"/>
      <c r="M8" s="9"/>
    </row>
    <row r="9" spans="1:13">
      <c r="A9" s="8" t="s">
        <v>120</v>
      </c>
      <c r="B9" s="6"/>
      <c r="C9" s="5"/>
      <c r="F9" s="376"/>
      <c r="G9" s="318"/>
      <c r="M9" s="9"/>
    </row>
    <row r="10" spans="1:13">
      <c r="A10" s="8" t="s">
        <v>121</v>
      </c>
      <c r="B10" s="6"/>
      <c r="C10" s="5"/>
      <c r="F10" s="376"/>
      <c r="G10" s="318"/>
      <c r="M10" s="9"/>
    </row>
    <row r="11" spans="1:13">
      <c r="A11" s="8" t="s">
        <v>122</v>
      </c>
      <c r="B11" s="5" t="str">
        <f>IF(B7="","'"&amp;B6&amp;"'",IF(B8="","'"&amp;B6&amp;"',"&amp;"'"&amp;B7&amp;"'",IF(B9="","'"&amp;B6&amp;"',"&amp;"'"&amp;B7&amp;"',"&amp;"'"&amp;B8&amp;"'",IF(B10="","'"&amp;B6&amp;"',"&amp;"'"&amp;B7&amp;"',"&amp;"'"&amp;B8&amp;"',"&amp;"'"&amp;B9&amp;"'",IF(B10&lt;&gt;"","'"&amp;B6&amp;"',"&amp;"'"&amp;B7&amp;"',"&amp;"'"&amp;B8&amp;"',"&amp;"'"&amp;B9&amp;"',"&amp;"'"&amp;B10&amp;"'",)))))</f>
        <v>'409744'</v>
      </c>
      <c r="C11" s="5"/>
      <c r="F11" s="376"/>
      <c r="G11" s="318"/>
      <c r="M11" s="9"/>
    </row>
    <row r="12" spans="1:13">
      <c r="A12" s="8" t="s">
        <v>158</v>
      </c>
      <c r="B12" s="7">
        <v>20230406</v>
      </c>
      <c r="C12" s="5" t="s">
        <v>126</v>
      </c>
      <c r="F12" s="376"/>
      <c r="G12" s="318"/>
      <c r="M12" s="9"/>
    </row>
    <row r="13" spans="1:13">
      <c r="A13" s="8" t="s">
        <v>159</v>
      </c>
      <c r="B13" s="17" t="s">
        <v>160</v>
      </c>
      <c r="C13" s="17"/>
      <c r="F13" s="376"/>
      <c r="G13" s="318"/>
      <c r="M13" s="9"/>
    </row>
    <row r="14" spans="1:13">
      <c r="A14" s="8" t="s">
        <v>161</v>
      </c>
      <c r="B14" s="17" t="s">
        <v>224</v>
      </c>
      <c r="C14" s="17"/>
      <c r="F14" s="376"/>
      <c r="G14" s="318"/>
      <c r="M14" s="9"/>
    </row>
    <row r="15" spans="1:13">
      <c r="A15" s="8" t="s">
        <v>207</v>
      </c>
      <c r="B15" s="5">
        <v>450724</v>
      </c>
      <c r="C15" s="17"/>
      <c r="F15" s="376"/>
      <c r="G15" s="318"/>
      <c r="M15" s="9"/>
    </row>
    <row r="16" spans="1:13">
      <c r="A16" s="4" t="s">
        <v>129</v>
      </c>
      <c r="B16" s="36" t="b">
        <v>1</v>
      </c>
      <c r="C16" s="80" t="b">
        <v>1</v>
      </c>
      <c r="F16" s="376"/>
      <c r="G16" s="318"/>
      <c r="M16" s="9"/>
    </row>
    <row r="17" spans="1:13">
      <c r="A17" s="4" t="s">
        <v>130</v>
      </c>
      <c r="B17" s="36" t="b">
        <v>1</v>
      </c>
      <c r="C17" s="80" t="b">
        <v>1</v>
      </c>
      <c r="M17" s="9"/>
    </row>
    <row r="18" spans="1:13" ht="15.5">
      <c r="A18" s="4" t="s">
        <v>131</v>
      </c>
      <c r="B18" s="36" t="b">
        <v>0</v>
      </c>
      <c r="C18" s="80" t="b">
        <v>1</v>
      </c>
      <c r="F18" s="89" t="s">
        <v>128</v>
      </c>
      <c r="G18" s="28" t="s">
        <v>128</v>
      </c>
    </row>
    <row r="19" spans="1:13" ht="15.5">
      <c r="A19" s="4" t="s">
        <v>364</v>
      </c>
      <c r="B19" s="36" t="b">
        <v>0</v>
      </c>
      <c r="C19" s="80" t="b">
        <v>1</v>
      </c>
      <c r="F19" s="37"/>
      <c r="G19" s="15"/>
    </row>
    <row r="20" spans="1:13">
      <c r="A20" s="4" t="s">
        <v>323</v>
      </c>
      <c r="B20" s="36" t="b">
        <v>0</v>
      </c>
      <c r="C20" s="80" t="b">
        <v>1</v>
      </c>
      <c r="F20" s="311" t="s">
        <v>141</v>
      </c>
      <c r="G20" s="318" t="str">
        <f>"CALL PGM(ELECTRON/CEC1835) PARM('C' '00"&amp;B4&amp;"')"</f>
        <v>CALL PGM(ELECTRON/CEC1835) PARM('C' '0019')</v>
      </c>
    </row>
    <row r="21" spans="1:13" ht="30" customHeight="1">
      <c r="A21" s="8" t="s">
        <v>369</v>
      </c>
      <c r="B21" s="7" t="str">
        <f ca="1">TEXT(TODAY(),"YYYYMMDD")</f>
        <v>20230831</v>
      </c>
      <c r="C21" s="5"/>
      <c r="F21" s="312"/>
      <c r="G21" s="318"/>
    </row>
    <row r="22" spans="1:13">
      <c r="A22" s="4" t="s">
        <v>411</v>
      </c>
      <c r="B22" s="17"/>
      <c r="C22" s="17"/>
      <c r="F22" s="58"/>
      <c r="G22" s="78"/>
    </row>
    <row r="23" spans="1:13" ht="15" customHeight="1">
      <c r="A23" s="91" t="s">
        <v>146</v>
      </c>
      <c r="B23" s="94" t="b">
        <v>1</v>
      </c>
      <c r="C23" s="17"/>
      <c r="F23" s="311" t="s">
        <v>316</v>
      </c>
      <c r="G23" s="28" t="s">
        <v>317</v>
      </c>
      <c r="H23" s="115" t="s">
        <v>146</v>
      </c>
    </row>
    <row r="24" spans="1:13" ht="15" customHeight="1">
      <c r="A24" s="95" t="s">
        <v>148</v>
      </c>
      <c r="B24" s="94" t="b">
        <v>0</v>
      </c>
      <c r="C24" s="17"/>
      <c r="F24" s="312"/>
      <c r="G24" s="28" t="s">
        <v>318</v>
      </c>
      <c r="H24" s="116" t="s">
        <v>148</v>
      </c>
    </row>
    <row r="25" spans="1:13" ht="15" customHeight="1">
      <c r="A25" s="96" t="s">
        <v>508</v>
      </c>
      <c r="B25" s="151" t="s">
        <v>147</v>
      </c>
      <c r="C25" s="34"/>
      <c r="F25" s="312"/>
      <c r="G25" s="28" t="s">
        <v>319</v>
      </c>
      <c r="H25" s="117" t="s">
        <v>147</v>
      </c>
    </row>
    <row r="26" spans="1:13">
      <c r="A26" s="145" t="s">
        <v>595</v>
      </c>
      <c r="B26" s="146" t="s">
        <v>597</v>
      </c>
      <c r="C26" s="34"/>
      <c r="F26" s="312"/>
      <c r="G26" s="28" t="s">
        <v>565</v>
      </c>
      <c r="H26" s="121" t="s">
        <v>556</v>
      </c>
    </row>
    <row r="27" spans="1:13">
      <c r="F27" s="58"/>
      <c r="G27" s="15"/>
    </row>
    <row r="28" spans="1:13" ht="15.5">
      <c r="F28" s="38" t="s">
        <v>116</v>
      </c>
      <c r="G28" s="28" t="s">
        <v>116</v>
      </c>
    </row>
    <row r="29" spans="1:13">
      <c r="F29"/>
      <c r="G29" s="15"/>
    </row>
    <row r="30" spans="1:13" ht="73.5" customHeight="1">
      <c r="F30" s="39" t="s">
        <v>563</v>
      </c>
      <c r="G30" s="35" t="str">
        <f>IF(B25="EASV",IF(AND(K33=TRUE,K34=TRUE,K35=TRUE),"SELECT DFHTRA, DCDMSG, DCDTYP, DCCADQ, DCCEMI,substr(DCDTAR, 1, 6)||'********'||substr(DCDTAR, 15, 2) AS TARJPRO, DMONT1,DCPAIS,     
DCDRES, DCDAUT FROM BODEGATMP/FTLF_YS where DCCEMI like '%"&amp;B4&amp;"%' AND substr(DCDTAR, 1, 6)in ("&amp;B11&amp;") and DCDAUT&lt;&gt;''  ORDER BY DCDAUT",IF(AND(K33=TRUE,K34=TRUE),"SELECT DFHTRA, DCDMSG, DCDTYP, DCCADQ, DCCEMI,substr(DCDTAR, 1, 6)||'********'||substr(DCDTAR, 15, 2) AS TARJPRO, DMONT1,DCPAIS,     
DCDRES, DCDAUT FROM BODEGATMP/FTLF_YS where  substr(DCDTAR, 1, 6)in ("&amp;B11&amp;") and DCDAUT&lt;&gt;''  ORDER BY DCDAUT",IF(AND(K34=TRUE,K35=TRUE),"SELECT DFHTRA, DCDMSG, DCDTYP, DCCADQ, DCCEMI,substr(DCDTAR, 1, 6)||'********'||substr(DCDTAR, 15, 2) AS TARJPRO, DMONT1,DCPAIS,     
DCDRES, DCDAUT FROM BODEGATMP/FTLF_YS where DCCEMI like '%"&amp;B4&amp;"%' AND substr(DCDTAR, 1, 6)in ("&amp;B11&amp;") ORDER BY DCDAUT",IF(AND(K33=TRUE,K35=TRUE),"SELECT DFHTRA, DCDMSG, DCDTYP, DCCADQ, DCCEMI,substr(DCDTAR, 1, 6)||'********'||substr(DCDTAR, 15, 2) AS TARJPRO, DMONT1,DCPAIS,     
DCDRES, DCDAUT FROM BODEGATMP/FTLF_YS where DCCEMI like '%"&amp;B4&amp;"%' and DCDAUT&lt;&gt;''  ORDER BY DCDAUT",IF(K33=TRUE,"SELECT DFHTRA, DCDMSG, DCDTYP, DCCADQ, DCCEMI,substr(DCDTAR, 1, 6)||'********'||substr(DCDTAR, 15, 2) AS TARJPRO, DMONT1,DCPAIS,     
DCDRES, DCDAUT FROM BODEGATMP/FTLF_YS where DCDAUT&lt;&gt;''  ORDER BY DCDAUT",IF(K34=TRUE,"SELECT DFHTRA, DCDMSG, DCDTYP, DCCADQ, DCCEMI,substr(DCDTAR, 1, 6)||'********'||substr(DCDTAR, 15, 2) AS TARJPRO, DMONT1,DCPAIS,     
DCDRES, DCDAUT FROM BODEGATMP/FTLF_YS where  substr(DCDTAR, 1, 6)in ("&amp;B11&amp;") ORDER BY DCDAUT",IF(K35=TRUE,"SELECT DFHTRA, DCDMSG, DCDTYP, DCCADQ, DCCEMI,substr(DCDTAR, 1, 6)||'********'||substr(DCDTAR, 15, 2) AS TARJPRO, DMONT1,DCPAIS,     
DCDRES, DCDAUT FROM BODEGATMP/FTLF_YS where DCCEMI like '%"&amp;B4&amp;"%' ORDER BY DCDAUT","SELECT DFHTRA, DCDMSG, DCDTYP, DCCADQ, DCCEMI,substr(DCDTAR, 1, 6)||'********'||substr(DCDTAR, 15, 2) AS TARJPRO, DMONT1,DCPAIS,     
DCDRES, DCDAUT FROM BODEGATMP/FTLF_YS  ORDER BY DCDAUT"))))))),IF(B25="REDEBAN",IF(AND(K33=TRUE,K34=TRUE,K35=TRUE),"SELECT DFHTRA, DCDMSG, DCDTYP, DCCADQ, DCCEMI,substr(DCDTAR, 1, 6)||'********'||substr(DCDTAR, 15, 2) AS TARJPRO, DMONT1,DCPAIS,     
DCDRES, DCDAUT FROM BODEGATMP/FTLF_NS where DCCEMI like '%"&amp;B4&amp;"%' AND substr(DCDTAR, 1, 6)in ("&amp;B11&amp;") and DCDAUT&lt;&gt;''  ORDER BY DCDAUT",IF(AND(K33=TRUE,K34=TRUE),"SELECT DFHTRA, DCDMSG, DCDTYP, DCCADQ, DCCEMI,substr(DCDTAR, 1, 6)||'********'||substr(DCDTAR, 15, 2) AS TARJPRO, DMONT1,DCPAIS,     
DCDRES, DCDAUT FROM BODEGATMP/FTLF_NS where  substr(DCDTAR, 1, 6)in ("&amp;B11&amp;") and DCDAUT&lt;&gt;''  ORDER BY DCDAUT",IF(AND(K34=TRUE,K35=TRUE),"SELECT DFHTRA, DCDMSG, DCDTYP, DCCADQ, DCCEMI,substr(DCDTAR, 1, 6)||'********'||substr(DCDTAR, 15, 2) AS TARJPRO, DMONT1,DCPAIS,     
DCDRES, DCDAUT FROM BODEGATMP/FTLF_NS where DCCEMI like '%"&amp;B4&amp;"%' AND substr(DCDTAR, 1, 6)in ("&amp;B11&amp;") ORDER BY DCDAUT",IF(AND(K33=TRUE,K35=TRUE),"SELECT DFHTRA, DCDMSG, DCDTYP, DCCADQ, DCCEMI,substr(DCDTAR, 1, 6)||'********'||substr(DCDTAR, 15, 2) AS TARJPRO, DMONT1,DCPAIS,     
DCDRES, DCDAUT FROM BODEGATMP/FTLF_NS where DCCEMI like '%"&amp;B4&amp;"%' and DCDAUT&lt;&gt;''  ORDER BY DCDAUT",IF(K33=TRUE,"SELECT DFHTRA, DCDMSG, DCDTYP, DCCADQ, DCCEMI,substr(DCDTAR, 1, 6)||'********'||substr(DCDTAR, 15, 2) AS TARJPRO, DMONT1,DCPAIS,     
DCDRES, DCDAUT FROM BODEGATMP/FTLF_NS where DCDAUT&lt;&gt;''  ORDER BY DCDAUT",IF(K34=TRUE,"SELECT DFHTRA, DCDMSG, DCDTYP, DCCADQ, DCCEMI,substr(DCDTAR, 1, 6)||'********'||substr(DCDTAR, 15, 2) AS TARJPRO, DMONT1,DCPAIS,     
DCDRES, DCDAUT FROM BODEGATMP/FTLF_NS where  substr(DCDTAR, 1, 6)in ("&amp;B11&amp;") ORDER BY DCDAUT",IF(K35=TRUE,"SELECT DFHTRA, DCDMSG, DCDTYP, DCCADQ, DCCEMI,substr(DCDTAR, 1, 6)||'********'||substr(DCDTAR, 15, 2) AS TARJPRO, DMONT1,DCPAIS,     
DCDRES, DCDAUT FROM BODEGATMP/FTLF_NS where DCCEMI like '%"&amp;B4&amp;"%' ORDER BY DCDAUT","SELECT DFHTRA, DCDMSG, DCDTYP, DCCADQ, DCCEMI,substr(DCDTAR, 1, 6)||'********'||substr(DCDTAR, 15, 2) AS TARJPRO, DMONT1,DCPAIS,     
DCDRES, DCDAUT FROM BODEGATMP/FTLF_NS  ORDER BY DCDAUT"))))))),""))</f>
        <v>SELECT DFHTRA, DCDMSG, DCDTYP, DCCADQ, DCCEMI,substr(DCDTAR, 1, 6)||'********'||substr(DCDTAR, 15, 2) AS TARJPRO, DMONT1,DCPAIS,     
DCDRES, DCDAUT FROM BODEGATMP/FTLF_YS where DCCEMI like '%19%' and DCDAUT&lt;&gt;''  ORDER BY DCDAUT</v>
      </c>
      <c r="H30" s="122" t="str">
        <f>B25</f>
        <v>EASV</v>
      </c>
    </row>
    <row r="31" spans="1:13" ht="14.25" customHeight="1"/>
    <row r="32" spans="1:13" ht="32.25" customHeight="1">
      <c r="F32" s="356" t="s">
        <v>561</v>
      </c>
      <c r="G32" s="318" t="str">
        <f>IF(AND(K33=TRUE,K34=TRUE,K35=TRUE),"select DFHTRA, DCDMSG, DFIDID, DTPTRA, DCDEST, DTERMI, DCDRES,DREFER, DCAPFL,substr(dcdtar, 1, 6)||'********'||substr(dcdtar, 15, 2) AS TARJPRO,substr(DCDTAR, 1, 6), DMONT1,DCPAIS from BODEGATMP/FPTLFYS where DFIDID like '%"&amp;B4&amp;"%' AND substr(DCDTAR, 1, 6)in ("&amp;B11&amp;") and DREFER&lt;&gt;''  ORDER BY DREFER,DCAPFL",IF(AND(K33=TRUE,K34=TRUE),"select DFHTRA, DCDMSG, DFIDID, DTPTRA, DCDEST, DTERMI, DCDRES,DREFER, DCAPFL,substr(dcdtar, 1, 6)||'********'||substr(dcdtar, 15, 2) AS TARJPRO,substr(DCDTAR, 1, 6), DMONT1,DCPAIS from BODEGATMP/FPTLFYS where substr(DCDTAR, 1, 6)in ("&amp;B11&amp;") and DREFER&lt;&gt;''  ORDER BY DREFER,DCAPFL",IF(AND(K34=TRUE,K35=TRUE),"select DFHTRA, DCDMSG, DFIDID, DTPTRA, DCDEST, DTERMI, DCDRES,DREFER, DCAPFL,substr(dcdtar, 1, 6)||'********'||substr(dcdtar, 15, 2) AS TARJPRO,substr(DCDTAR, 1, 6), DMONT1,DCPAIS from BODEGATMP/FPTLFYS where DFIDID like '%"&amp;B4&amp;"%' AND substr(DCDTAR, 1, 6)in ("&amp;B11&amp;") ORDER BY DREFER,DCAPFL",IF(AND(K33=TRUE,K35=TRUE),"select DFHTRA, DCDMSG, DFIDID, DTPTRA, DCDEST, DTERMI, DCDRES,DREFER, DCAPFL,substr(dcdtar, 1, 6)||'********'||substr(dcdtar, 15, 2) AS TARJPRO,substr(DCDTAR, 1, 6), DMONT1,DCPAIS from BODEGATMP/FPTLFYS where DFIDID like '%"&amp;B4&amp;"%' and DREFER&lt;&gt;''  ORDER BY DREFER,DCAPFL",IF(K33=TRUE,"select DFHTRA, DCDMSG, DFIDID, DTPTRA, DCDEST, DTERMI, DCDRES,DREFER, DCAPFL,substr(dcdtar, 1, 6)||'********'||substr(dcdtar, 15, 2) AS TARJPRO,substr(DCDTAR, 1, 6), DMONT1,DCPAIS from BODEGATMP/FPTLFYS where  DREFER&lt;&gt;''  ORDER BY DREFER,DCAPFL",IF(K34=TRUE,"select DFHTRA, DCDMSG, DFIDID, DTPTRA, DCDEST, DTERMI, DCDRES,DREFER, DCAPFL,substr(dcdtar, 1, 6)||'********'||substr(dcdtar, 15, 2) AS TARJPRO,substr(DCDTAR, 1, 6), DMONT1,DCPAIS from BODEGATMP/FPTLFYS where  substr(DCDTAR, 1, 6)in ("&amp;B11&amp;")   ORDER BY DREFER,DCAPFL",IF(K35=TRUE,"select DFHTRA, DCDMSG, DFIDID, DTPTRA, DCDEST, DTERMI, DCDRES,DREFER, DCAPFL,substr(dcdtar, 1, 6)||'********'||substr(dcdtar, 15, 2) AS TARJPRO,substr(DCDTAR, 1, 6), DMONT1,DCPAIS from BODEGATMP/FPTLFYS where DFIDID like '%"&amp;B4&amp;"%'  ORDER BY DREFER,DCAPFL","select DFHTRA, DCDMSG, DFIDID, DTPTRA, DCDEST, DTERMI, DCDRES,DREFER, DCAPFL,substr(dcdtar, 1, 6)||'********'||substr(dcdtar, 15, 2) AS TARJPRO,substr(DCDTAR, 1, 6), DMONT1,DCPAIS from BODEGATMP/FPTLFYS ORDER BY DREFER,DCAPFL")))))))</f>
        <v>select DFHTRA, DCDMSG, DFIDID, DTPTRA, DCDEST, DTERMI, DCDRES,DREFER, DCAPFL,substr(dcdtar, 1, 6)||'********'||substr(dcdtar, 15, 2) AS TARJPRO,substr(DCDTAR, 1, 6), DMONT1,DCPAIS from BODEGATMP/FPTLFYS where DFIDID like '%19%' and DREFER&lt;&gt;''  ORDER BY DREFER,DCAPFL</v>
      </c>
      <c r="H32" s="384" t="s">
        <v>146</v>
      </c>
      <c r="J32" s="383" t="s">
        <v>315</v>
      </c>
      <c r="K32" s="383"/>
    </row>
    <row r="33" spans="6:13" ht="27.75" customHeight="1">
      <c r="F33" s="351"/>
      <c r="G33" s="318"/>
      <c r="H33" s="384"/>
      <c r="J33" s="17" t="s">
        <v>314</v>
      </c>
      <c r="K33" s="36" t="b">
        <v>1</v>
      </c>
    </row>
    <row r="34" spans="6:13" ht="27.75" customHeight="1">
      <c r="F34" s="351"/>
      <c r="G34" s="318"/>
      <c r="H34" s="384"/>
      <c r="J34" s="17" t="s">
        <v>312</v>
      </c>
      <c r="K34" s="36" t="b">
        <v>0</v>
      </c>
      <c r="M34" s="14"/>
    </row>
    <row r="35" spans="6:13" ht="24" customHeight="1">
      <c r="F35" s="351"/>
      <c r="G35" s="318"/>
      <c r="H35" s="384"/>
      <c r="J35" s="17" t="s">
        <v>313</v>
      </c>
      <c r="K35" s="36" t="b">
        <v>1</v>
      </c>
    </row>
    <row r="37" spans="6:13" ht="15" customHeight="1">
      <c r="F37" s="377" t="s">
        <v>142</v>
      </c>
      <c r="G37" s="17" t="str">
        <f>"SELECT * FROM SISTEMAS.PLF0100A WHERE MBANCO = "&amp;B4&amp;" AND MBINCO IN ("&amp;B11&amp;")"</f>
        <v>SELECT * FROM SISTEMAS.PLF0100A WHERE MBANCO = 19 AND MBINCO IN ('409744')</v>
      </c>
      <c r="H37" s="118" t="s">
        <v>416</v>
      </c>
    </row>
    <row r="38" spans="6:13" ht="15" customHeight="1">
      <c r="F38" s="377"/>
      <c r="G38" s="17" t="str">
        <f>"SELECT * FROM SISTEMAS.SWFTAB08 WHERE RCDCMP = "&amp;B4&amp;" AND RCDBIN IN ("&amp;B11&amp;")"</f>
        <v>SELECT * FROM SISTEMAS.SWFTAB08 WHERE RCDCMP = 19 AND RCDBIN IN ('409744')</v>
      </c>
      <c r="H38" s="118" t="s">
        <v>417</v>
      </c>
    </row>
    <row r="39" spans="6:13" ht="15" customHeight="1">
      <c r="F39" s="377"/>
      <c r="G39" s="17" t="str">
        <f>"SELECT * FROM SISTEMAS.REFTAB08 WHERE  RBINCO IN ("&amp;B11&amp;")"</f>
        <v>SELECT * FROM SISTEMAS.REFTAB08 WHERE  RBINCO IN ('409744')</v>
      </c>
      <c r="H39" s="118" t="s">
        <v>418</v>
      </c>
    </row>
    <row r="40" spans="6:13" ht="15" customHeight="1">
      <c r="F40" s="377"/>
      <c r="G40" s="17" t="str">
        <f>"SELECT * FROM SISTEMAS.SIF0100B WHERE DCDCMP = "&amp;B4&amp;" AND DCDBIN IN ("&amp;B11&amp;")"</f>
        <v>SELECT * FROM SISTEMAS.SIF0100B WHERE DCDCMP = 19 AND DCDBIN IN ('409744')</v>
      </c>
      <c r="H40" s="118" t="s">
        <v>419</v>
      </c>
    </row>
    <row r="41" spans="6:13" ht="15" customHeight="1">
      <c r="F41" s="377"/>
      <c r="G41" s="17" t="str">
        <f>"SELECT * FROM BASEDOS.BAFTAB40 WHERE RCDCMP = "&amp;B4&amp;" AND RCDBIN IN ("&amp;B11&amp;")"</f>
        <v>SELECT * FROM BASEDOS.BAFTAB40 WHERE RCDCMP = 19 AND RCDBIN IN ('409744')</v>
      </c>
      <c r="H41" s="118" t="s">
        <v>420</v>
      </c>
    </row>
    <row r="42" spans="6:13" ht="15" customHeight="1">
      <c r="F42" s="377"/>
      <c r="G42" s="17" t="str">
        <f>"SELECT * FROM SISTEMAS.REFTAB23 WHERE RCDBIN IN("&amp;B11&amp;")"</f>
        <v>SELECT * FROM SISTEMAS.REFTAB23 WHERE RCDBIN IN('409744')</v>
      </c>
      <c r="H42" s="118" t="s">
        <v>421</v>
      </c>
    </row>
    <row r="43" spans="6:13" ht="15" customHeight="1">
      <c r="F43" s="377"/>
      <c r="G43" s="17" t="str">
        <f>"SELECT * FROM BASEDOS/VDF0304E WHERE BINCOD C20IN ("&amp;B11&amp;")"</f>
        <v>SELECT * FROM BASEDOS/VDF0304E WHERE BINCOD C20IN ('409744')</v>
      </c>
      <c r="H43" s="118" t="s">
        <v>421</v>
      </c>
    </row>
    <row r="44" spans="6:13">
      <c r="F44" s="58"/>
      <c r="G44" s="13"/>
    </row>
    <row r="45" spans="6:13" ht="130.5">
      <c r="F45" s="312" t="s">
        <v>143</v>
      </c>
      <c r="G45" s="76" t="s">
        <v>554</v>
      </c>
      <c r="H45" s="125" t="s">
        <v>557</v>
      </c>
    </row>
    <row r="46" spans="6:13">
      <c r="F46" s="381"/>
      <c r="G46" s="76" t="s">
        <v>182</v>
      </c>
      <c r="H46" s="118" t="s">
        <v>567</v>
      </c>
    </row>
    <row r="47" spans="6:13">
      <c r="F47" s="58"/>
      <c r="G47" s="79"/>
    </row>
    <row r="48" spans="6:13" ht="30" customHeight="1">
      <c r="F48" s="376" t="s">
        <v>144</v>
      </c>
      <c r="G48" s="76" t="str">
        <f>"SELECT * FROM CANJE/CAFCNTRL  WHERE TANOCA =' "&amp;MID(B5,3,2)&amp;"' AND TMESCA =' "&amp;MID(B5,5,2)&amp;"' AND TDIACA = '"&amp;MID(B5,7,2)+1&amp;"' ORDER BY TFECHA desc"</f>
        <v>SELECT * FROM CANJE/CAFCNTRL  WHERE TANOCA =' 23' AND TMESCA =' 04' AND TDIACA = '5' ORDER BY TFECHA desc</v>
      </c>
      <c r="H48" s="306" t="s">
        <v>145</v>
      </c>
    </row>
    <row r="49" spans="6:8" ht="32.25" customHeight="1">
      <c r="F49" s="376"/>
      <c r="G49" s="102" t="str">
        <f>"UPDATE  BODEGATMP/CAFCNTRLYS  SET TMESCA="&amp;MID(B5,5,2)&amp;", TDIACA='"&amp;MID(B5,7,2)+1&amp;",     
TFECHA="&amp;MID(B5,3,7)+1&amp;""</f>
        <v>UPDATE  BODEGATMP/CAFCNTRLYS  SET TMESCA=04, TDIACA='5,     
TFECHA=230405</v>
      </c>
      <c r="H49" s="306"/>
    </row>
    <row r="50" spans="6:8" ht="15" customHeight="1">
      <c r="F50" s="376"/>
      <c r="G50" s="76" t="s">
        <v>125</v>
      </c>
      <c r="H50" s="306"/>
    </row>
    <row r="51" spans="6:8" ht="15.5">
      <c r="F51" s="37"/>
      <c r="G51" s="15"/>
    </row>
    <row r="52" spans="6:8" ht="58">
      <c r="F52" s="90" t="s">
        <v>149</v>
      </c>
      <c r="G52" s="76" t="str">
        <f>"CHGJOB DATE("&amp;TEXT(MID(B5,7,2)+1,"dd")&amp;MID(B5,5,2)&amp;MID(B5,3,2)&amp;")"</f>
        <v>CHGJOB DATE(050423)</v>
      </c>
      <c r="H52" s="119" t="s">
        <v>559</v>
      </c>
    </row>
    <row r="53" spans="6:8" ht="15.5">
      <c r="F53" s="37"/>
      <c r="G53" s="15"/>
    </row>
    <row r="54" spans="6:8" ht="15.5">
      <c r="F54" s="89" t="s">
        <v>150</v>
      </c>
      <c r="G54" s="120" t="s">
        <v>127</v>
      </c>
    </row>
    <row r="55" spans="6:8" ht="15.5">
      <c r="F55" s="37"/>
      <c r="G55" s="15"/>
    </row>
    <row r="56" spans="6:8" ht="15.5">
      <c r="F56" s="89" t="s">
        <v>128</v>
      </c>
      <c r="G56" s="28" t="s">
        <v>128</v>
      </c>
    </row>
    <row r="57" spans="6:8" ht="15.5">
      <c r="F57" s="37"/>
      <c r="G57" s="15"/>
    </row>
    <row r="58" spans="6:8" ht="29">
      <c r="F58" s="89" t="s">
        <v>151</v>
      </c>
      <c r="G58" s="102" t="str">
        <f>"CALL PGM(ELECTRON/CEC1840) PARM('"&amp;MID(B5,3,2)&amp;MID(B5,5,2)&amp;TEXT(MID(B5,7,2)+1,"dd")&amp;"' 'N' 'N' '0000' '"&amp;REPT(0,4-LEN(B4))&amp;B4&amp;"' '0000' '0000' '"&amp;REPT(0,4-LEN(B4))&amp;B4&amp;"' '0000')"</f>
        <v>CALL PGM(ELECTRON/CEC1840) PARM('230405' 'N' 'N' '0000' '0019' '0000' '0000' '0019' '0000')</v>
      </c>
      <c r="H58" s="119" t="s">
        <v>568</v>
      </c>
    </row>
    <row r="59" spans="6:8" ht="15.5">
      <c r="F59" s="37"/>
      <c r="G59" s="15"/>
    </row>
    <row r="60" spans="6:8" ht="92.25" customHeight="1">
      <c r="F60" s="90" t="s">
        <v>605</v>
      </c>
      <c r="G60" s="102" t="str">
        <f>"UPDATE TD"&amp;REPT(0,4-LEN(B4))&amp;B4&amp;"/EXTRACTO                                 
SET EXTRACTO =
 SUBSTR(EXTRACTO, 1, 5)||"&amp;MID(B5,3,2)&amp;MID(B5,5,2)&amp;TEXT(MID(B5,7,2)+1,"dd")&amp;"||SUBSTR(EXTRACTO, 12, 41) 
   WHERE SUBSTR(EXTRACTO, 1, 1)='/'"</f>
        <v>UPDATE TD0019/EXTRACTO                                 
SET EXTRACTO =
 SUBSTR(EXTRACTO, 1, 5)||230405||SUBSTR(EXTRACTO, 12, 41) 
   WHERE SUBSTR(EXTRACTO, 1, 1)='/'</v>
      </c>
    </row>
    <row r="61" spans="6:8" ht="15.5">
      <c r="F61" s="37"/>
      <c r="G61" s="15"/>
    </row>
    <row r="62" spans="6:8">
      <c r="F62" s="378" t="s">
        <v>152</v>
      </c>
      <c r="G62" s="28" t="str">
        <f>IF(C16=TRUE,"WRKF FILE(TD"&amp;REPT(0,4-LEN(B4))&amp;B4&amp;"/EXTRACTO)","")</f>
        <v>WRKF FILE(TD0019/EXTRACTO)</v>
      </c>
      <c r="H62" s="4" t="s">
        <v>129</v>
      </c>
    </row>
    <row r="63" spans="6:8">
      <c r="F63" s="379"/>
      <c r="G63" s="28" t="str">
        <f>"WRKF FILE(TD"&amp;REPT(0,4-LEN(B4))&amp;B4&amp;"/CANJEETX)"</f>
        <v>WRKF FILE(TD0019/CANJEETX)</v>
      </c>
      <c r="H63" s="4" t="s">
        <v>130</v>
      </c>
    </row>
    <row r="64" spans="6:8" ht="15.75" customHeight="1">
      <c r="F64" s="380"/>
      <c r="G64" s="28" t="str">
        <f>"WRKF FILE(TD"&amp;REPT(0,4-LEN(B4))&amp;B4&amp;"/DEPOSTX)"</f>
        <v>WRKF FILE(TD0019/DEPOSTX)</v>
      </c>
      <c r="H64" s="4" t="s">
        <v>131</v>
      </c>
    </row>
    <row r="65" spans="6:8">
      <c r="F65" s="58"/>
      <c r="G65" s="79"/>
    </row>
    <row r="66" spans="6:8">
      <c r="F66" s="311" t="s">
        <v>153</v>
      </c>
      <c r="G66" s="28" t="str">
        <f>IF(C16=TRUE,"GASFTPSEND DTPPRO('EXTRA_TEST') DCDCMP('"&amp;REPT(0,4-LEN(B4))&amp;B4&amp;"')","")</f>
        <v>GASFTPSEND DTPPRO('EXTRA_TEST') DCDCMP('0019')</v>
      </c>
      <c r="H66" s="4" t="s">
        <v>129</v>
      </c>
    </row>
    <row r="67" spans="6:8" ht="15.75" customHeight="1">
      <c r="F67" s="312"/>
      <c r="G67" s="28" t="str">
        <f>IF(C17=TRUE,"GASFTPSEND DTPPRO('CELEC_TEST') DCDCMP('"&amp;REPT(0,4-LEN(B4))&amp;B4&amp;"')","")</f>
        <v>GASFTPSEND DTPPRO('CELEC_TEST') DCDCMP('0019')</v>
      </c>
      <c r="H67" s="4" t="s">
        <v>130</v>
      </c>
    </row>
    <row r="68" spans="6:8" ht="15.75" customHeight="1">
      <c r="F68" s="312"/>
      <c r="G68" s="28" t="str">
        <f>IF(C18=TRUE,"GASFTPSEND DTPPRO('DELEC_TEST') DCDCMP('"&amp;REPT(0,4-LEN(B4))&amp;B4&amp;"')","")</f>
        <v>GASFTPSEND DTPPRO('DELEC_TEST') DCDCMP('0019')</v>
      </c>
      <c r="H68" s="4" t="s">
        <v>131</v>
      </c>
    </row>
    <row r="70" spans="6:8">
      <c r="F70" s="351" t="s">
        <v>328</v>
      </c>
      <c r="G70" s="28" t="str">
        <f>"select * from switch.swfcomp where ccmand = 120 and CCDCMP ="&amp;B4</f>
        <v>select * from switch.swfcomp where ccmand = 120 and CCDCMP =19</v>
      </c>
    </row>
    <row r="71" spans="6:8">
      <c r="F71" s="351"/>
      <c r="G71" s="28" t="s">
        <v>309</v>
      </c>
    </row>
    <row r="72" spans="6:8">
      <c r="F72" s="351"/>
      <c r="G72" s="28" t="s">
        <v>310</v>
      </c>
    </row>
    <row r="74" spans="6:8">
      <c r="F74" s="351" t="s">
        <v>329</v>
      </c>
      <c r="G74" s="17" t="str">
        <f>"select * from switch.SWFOUT where OCDCMP = "&amp;B4</f>
        <v>select * from switch.SWFOUT where OCDCMP = 19</v>
      </c>
    </row>
    <row r="75" spans="6:8">
      <c r="F75" s="351"/>
      <c r="G75" s="17" t="s">
        <v>327</v>
      </c>
    </row>
    <row r="76" spans="6:8">
      <c r="F76" s="351"/>
      <c r="G76" s="75" t="s">
        <v>326</v>
      </c>
    </row>
    <row r="78" spans="6:8">
      <c r="F78" s="127" t="s">
        <v>150</v>
      </c>
      <c r="G78" s="26" t="s">
        <v>127</v>
      </c>
    </row>
    <row r="80" spans="6:8">
      <c r="F80" s="86" t="s">
        <v>176</v>
      </c>
      <c r="G80" s="120" t="s">
        <v>175</v>
      </c>
    </row>
    <row r="82" spans="6:8" ht="29">
      <c r="F82" s="128" t="s">
        <v>201</v>
      </c>
      <c r="G82" s="120" t="str">
        <f>"SAVOBJ OBJ(VDFCNTR0 BAFCNTR2 BAFCNTRL BAF0401H VDF0801H) LIB(BASEDOS) DEV(*SAVF) SAVF("&amp;B14&amp;"/"&amp;B13&amp;")"</f>
        <v>SAVOBJ OBJ(VDFCNTR0 BAFCNTR2 BAFCNTRL BAF0401H VDF0801H) LIB(BASEDOS) DEV(*SAVF) SAVF(OPERACION/PASEN)</v>
      </c>
      <c r="H82" s="353" t="s">
        <v>163</v>
      </c>
    </row>
    <row r="83" spans="6:8">
      <c r="F83" s="20"/>
      <c r="G83" s="16"/>
      <c r="H83" s="354"/>
    </row>
    <row r="84" spans="6:8">
      <c r="F84" s="128" t="s">
        <v>232</v>
      </c>
      <c r="G84" s="17" t="s">
        <v>210</v>
      </c>
      <c r="H84" s="354"/>
    </row>
    <row r="85" spans="6:8">
      <c r="F85" s="128" t="s">
        <v>233</v>
      </c>
      <c r="G85" s="36" t="s">
        <v>212</v>
      </c>
      <c r="H85" s="354"/>
    </row>
    <row r="86" spans="6:8">
      <c r="F86" s="20"/>
      <c r="G86" s="135"/>
      <c r="H86" s="354"/>
    </row>
    <row r="87" spans="6:8">
      <c r="F87" s="357" t="s">
        <v>234</v>
      </c>
      <c r="G87" s="17" t="s">
        <v>213</v>
      </c>
      <c r="H87" s="354"/>
    </row>
    <row r="88" spans="6:8">
      <c r="F88" s="357"/>
      <c r="G88" s="17" t="s">
        <v>215</v>
      </c>
      <c r="H88" s="354"/>
    </row>
    <row r="89" spans="6:8">
      <c r="F89" s="357"/>
      <c r="G89" s="17" t="s">
        <v>216</v>
      </c>
      <c r="H89" s="354"/>
    </row>
    <row r="90" spans="6:8">
      <c r="F90" s="59"/>
      <c r="G90" s="135"/>
      <c r="H90" s="354"/>
    </row>
    <row r="91" spans="6:8">
      <c r="F91" s="128" t="s">
        <v>226</v>
      </c>
      <c r="G91" s="17" t="str">
        <f>"put /QSYS.LIB/"&amp;B14&amp;".LIB/"&amp;B13&amp;".FILE "&amp;B13</f>
        <v>put /QSYS.LIB/OPERACION.LIB/PASEN.FILE PASEN</v>
      </c>
      <c r="H91" s="355"/>
    </row>
    <row r="92" spans="6:8">
      <c r="F92" s="58"/>
    </row>
    <row r="93" spans="6:8">
      <c r="F93" s="86" t="s">
        <v>228</v>
      </c>
      <c r="G93" s="17" t="s">
        <v>210</v>
      </c>
      <c r="H93" s="382" t="s">
        <v>164</v>
      </c>
    </row>
    <row r="94" spans="6:8">
      <c r="F94" s="86" t="s">
        <v>229</v>
      </c>
      <c r="G94" s="36" t="s">
        <v>212</v>
      </c>
      <c r="H94" s="347"/>
    </row>
    <row r="95" spans="6:8">
      <c r="F95" s="58"/>
      <c r="H95" s="346"/>
    </row>
    <row r="96" spans="6:8">
      <c r="F96" s="358" t="s">
        <v>230</v>
      </c>
      <c r="G96" s="17" t="s">
        <v>213</v>
      </c>
      <c r="H96" s="347"/>
    </row>
    <row r="97" spans="6:8">
      <c r="F97" s="359"/>
      <c r="G97" s="17" t="s">
        <v>215</v>
      </c>
      <c r="H97" s="347"/>
    </row>
    <row r="98" spans="6:8">
      <c r="F98" s="360"/>
      <c r="G98" s="17" t="s">
        <v>216</v>
      </c>
      <c r="H98" s="347"/>
    </row>
    <row r="99" spans="6:8">
      <c r="F99" s="20"/>
      <c r="G99" s="135"/>
      <c r="H99" s="346"/>
    </row>
    <row r="100" spans="6:8">
      <c r="F100" s="86" t="s">
        <v>231</v>
      </c>
      <c r="G100" s="17" t="str">
        <f>"get "&amp;B13&amp;" /QSYS.LIB/"&amp;B14&amp;".LIB/"&amp;B13&amp;".FILE (replace"</f>
        <v>get PASEN /QSYS.LIB/OPERACION.LIB/PASEN.FILE (replace</v>
      </c>
      <c r="H100" s="347"/>
    </row>
    <row r="101" spans="6:8">
      <c r="F101" s="58"/>
      <c r="H101" s="346"/>
    </row>
    <row r="102" spans="6:8" ht="29">
      <c r="F102" s="86" t="s">
        <v>173</v>
      </c>
      <c r="G102" s="120" t="str">
        <f>"RSTOBJ OBJ(VDFCNTR0 BAFCNTR2 BAFCNTRL BAF0401H VDF0801H) SAVLIB(BASEDOS) DEV(*SAVF) SAVF("&amp;B14&amp;"/"&amp;B13&amp;") RSTLIB(BODEGATMP)"</f>
        <v>RSTOBJ OBJ(VDFCNTR0 BAFCNTR2 BAFCNTRL BAF0401H VDF0801H) SAVLIB(BASEDOS) DEV(*SAVF) SAVF(OPERACION/PASEN) RSTLIB(BODEGATMP)</v>
      </c>
      <c r="H102" s="347"/>
    </row>
    <row r="103" spans="6:8">
      <c r="F103" s="58"/>
      <c r="G103" s="16"/>
    </row>
    <row r="104" spans="6:8" ht="29">
      <c r="F104" s="370" t="s">
        <v>174</v>
      </c>
      <c r="G104" s="120" t="s">
        <v>166</v>
      </c>
      <c r="H104" s="110" t="s">
        <v>154</v>
      </c>
    </row>
    <row r="105" spans="6:8" ht="29">
      <c r="F105" s="371"/>
      <c r="G105" s="120" t="s">
        <v>167</v>
      </c>
      <c r="H105" s="110" t="s">
        <v>155</v>
      </c>
    </row>
    <row r="107" spans="6:8">
      <c r="F107" s="332" t="s">
        <v>181</v>
      </c>
      <c r="G107" s="17" t="str">
        <f>"DELETE BASEDOS/BAFCNTRL WHERE  DFHAMD&gt;= "&amp;B12</f>
        <v>DELETE BASEDOS/BAFCNTRL WHERE  DFHAMD&gt;= 20230406</v>
      </c>
      <c r="H107" s="110" t="s">
        <v>154</v>
      </c>
    </row>
    <row r="108" spans="6:8">
      <c r="F108" s="332"/>
      <c r="G108" s="17" t="str">
        <f>"DELETE BASEDOS/BAFCNTR2 WHERE DFHAMD &gt;= "&amp;B12</f>
        <v>DELETE BASEDOS/BAFCNTR2 WHERE DFHAMD &gt;= 20230406</v>
      </c>
      <c r="H108" s="110" t="s">
        <v>155</v>
      </c>
    </row>
    <row r="109" spans="6:8">
      <c r="F109"/>
    </row>
    <row r="110" spans="6:8">
      <c r="F110" s="126" t="s">
        <v>377</v>
      </c>
      <c r="G110" s="17" t="str">
        <f>"DELETE BASEDOS/BAF0201H WHERE DFHPRO="&amp;B12</f>
        <v>DELETE BASEDOS/BAF0201H WHERE DFHPRO=20230406</v>
      </c>
      <c r="H110" s="4" t="s">
        <v>606</v>
      </c>
    </row>
    <row r="111" spans="6:8">
      <c r="F111"/>
    </row>
    <row r="112" spans="6:8">
      <c r="F112" s="332" t="s">
        <v>188</v>
      </c>
      <c r="G112" s="17" t="str">
        <f>"SELECT * FROM BASEDOS/BAFCNTRL WHERE  DFHAMD&gt;"&amp;B12</f>
        <v>SELECT * FROM BASEDOS/BAFCNTRL WHERE  DFHAMD&gt;20230406</v>
      </c>
      <c r="H112" s="110" t="s">
        <v>154</v>
      </c>
    </row>
    <row r="113" spans="4:14">
      <c r="D113" t="s">
        <v>324</v>
      </c>
      <c r="F113" s="332"/>
      <c r="G113" s="17" t="str">
        <f>"SELECT * FROM BASEDOS/BAFCNTR2 WHERE DFHAMD &gt;= "&amp;B12</f>
        <v>SELECT * FROM BASEDOS/BAFCNTR2 WHERE DFHAMD &gt;= 20230406</v>
      </c>
      <c r="H113" s="110" t="s">
        <v>155</v>
      </c>
    </row>
    <row r="114" spans="4:14">
      <c r="F114" s="58"/>
    </row>
    <row r="115" spans="4:14">
      <c r="F115" s="155" t="s">
        <v>311</v>
      </c>
      <c r="G115" s="17" t="s">
        <v>330</v>
      </c>
    </row>
    <row r="116" spans="4:14">
      <c r="F116" s="58"/>
    </row>
    <row r="117" spans="4:14">
      <c r="F117" s="86" t="s">
        <v>178</v>
      </c>
      <c r="G117" s="120" t="str">
        <f>"CHGSYSVAL SYSVAL(QDATE) VALUE('"&amp;MID(B12,7,2)&amp;MID(B12,5,2)&amp;MID(B12,3,2)&amp;"')"</f>
        <v>CHGSYSVAL SYSVAL(QDATE) VALUE('060423')</v>
      </c>
    </row>
    <row r="118" spans="4:14">
      <c r="F118" s="59"/>
      <c r="G118" s="136"/>
    </row>
    <row r="119" spans="4:14">
      <c r="F119" s="86" t="s">
        <v>179</v>
      </c>
      <c r="G119" s="120" t="str">
        <f>"CHGDTAARA DTAARA(ELECTRON/CEDATA (14 6)) VALUE('"&amp;MID(B12,3,2)&amp;MID(B12,5,2)&amp;MID(B12,7,2)&amp;"')"</f>
        <v>CHGDTAARA DTAARA(ELECTRON/CEDATA (14 6)) VALUE('230406')</v>
      </c>
    </row>
    <row r="121" spans="4:14">
      <c r="F121" s="86" t="s">
        <v>180</v>
      </c>
      <c r="G121" s="120" t="s">
        <v>177</v>
      </c>
    </row>
    <row r="123" spans="4:14">
      <c r="F123" s="86" t="s">
        <v>150</v>
      </c>
      <c r="G123" s="17" t="s">
        <v>127</v>
      </c>
    </row>
    <row r="125" spans="4:14">
      <c r="F125" s="158" t="s">
        <v>193</v>
      </c>
      <c r="G125" s="159" t="str">
        <f>IF(B26="INTERNACIONAL","CALL BASEDOS/BAC0300","CALL BASEDOS/BAC0400")</f>
        <v>CALL BASEDOS/BAC0400</v>
      </c>
      <c r="H125" s="17" t="s">
        <v>362</v>
      </c>
    </row>
    <row r="126" spans="4:14">
      <c r="F126" s="58"/>
      <c r="H126" s="17" t="s">
        <v>363</v>
      </c>
    </row>
    <row r="128" spans="4:14" ht="15" customHeight="1">
      <c r="F128" s="379"/>
      <c r="G128" s="28" t="str">
        <f>"WRKF FILE(TD"&amp;REPT(0,4-LEN(B4))&amp;B4&amp;"/CANJEITX)"</f>
        <v>WRKF FILE(TD0019/CANJEITX)</v>
      </c>
      <c r="H128" s="5" t="s">
        <v>364</v>
      </c>
      <c r="J128" s="364"/>
      <c r="K128" s="367" t="s">
        <v>163</v>
      </c>
      <c r="L128" s="368"/>
      <c r="M128" s="368"/>
      <c r="N128" s="369"/>
    </row>
    <row r="129" spans="6:14" ht="15" customHeight="1">
      <c r="F129" s="379"/>
      <c r="G129" s="28" t="str">
        <f>IF(B26="INTERNACIONAL","WRKF FILE(TD"&amp;REPT(0,4-LEN(B4))&amp;B4&amp;"/CAITAD)","WRKF FILE(TD"&amp;REPT(0,4-LEN(B4))&amp;B4&amp;"/CAEAD)")</f>
        <v>WRKF FILE(TD0019/CAEAD)</v>
      </c>
      <c r="H129" s="4" t="str">
        <f>IF(B26="INTERNACIONAL","VDCAIAD","CAEAD")</f>
        <v>CAEAD</v>
      </c>
      <c r="J129" s="365"/>
      <c r="K129" s="362" t="s">
        <v>596</v>
      </c>
      <c r="L129" s="363"/>
      <c r="M129" s="362" t="s">
        <v>597</v>
      </c>
      <c r="N129" s="363"/>
    </row>
    <row r="130" spans="6:14" ht="15" customHeight="1">
      <c r="F130" s="58"/>
      <c r="J130" s="366"/>
      <c r="K130" s="165" t="s">
        <v>607</v>
      </c>
      <c r="L130" s="165" t="s">
        <v>608</v>
      </c>
      <c r="M130" s="165" t="s">
        <v>607</v>
      </c>
      <c r="N130" s="165" t="s">
        <v>608</v>
      </c>
    </row>
    <row r="131" spans="6:14" ht="15" customHeight="1">
      <c r="F131" s="311" t="s">
        <v>153</v>
      </c>
      <c r="G131" s="28" t="str">
        <f>IF(C19=TRUE,"GASFTPSEND DTPPRO('CINTE_TEST') DCDCMP('"&amp;REPT(0,4-LEN(B4))&amp;B4&amp;"')","")</f>
        <v>GASFTPSEND DTPPRO('CINTE_TEST') DCDCMP('0019')</v>
      </c>
      <c r="H131" s="5" t="s">
        <v>133</v>
      </c>
      <c r="J131" s="161" t="s">
        <v>609</v>
      </c>
      <c r="K131" s="162" t="s">
        <v>610</v>
      </c>
      <c r="L131" s="162" t="s">
        <v>611</v>
      </c>
      <c r="M131" s="162" t="s">
        <v>612</v>
      </c>
      <c r="N131" s="162" t="s">
        <v>613</v>
      </c>
    </row>
    <row r="132" spans="6:14" ht="15" customHeight="1">
      <c r="F132" s="312"/>
      <c r="G132" s="28" t="str">
        <f>IF(C20=TRUE,IF(B26="INTERNACIONAL","GASFTPSEND DTPPRO('CINTE_06') DCDCMP('00"&amp;B4&amp;"')","GASFTPSEND DTPPRO('CINTE_08') DCDCMP('00"&amp;B4&amp;"')"),"")</f>
        <v>GASFTPSEND DTPPRO('CINTE_08') DCDCMP('0019')</v>
      </c>
      <c r="H132" s="4" t="str">
        <f>IF(B26="INTERNACIONAL","VDCAIAD","CAEAD")</f>
        <v>CAEAD</v>
      </c>
      <c r="J132" s="161" t="s">
        <v>261</v>
      </c>
      <c r="K132" s="163" t="s">
        <v>614</v>
      </c>
      <c r="L132" s="164" t="s">
        <v>471</v>
      </c>
      <c r="M132" s="163" t="s">
        <v>612</v>
      </c>
      <c r="N132" s="164" t="s">
        <v>613</v>
      </c>
    </row>
    <row r="133" spans="6:14">
      <c r="G133" t="str">
        <f>IF(C69=TRUE,"GASFTPSEND DTPPRO('CINTE_06') DCDCMP('00"&amp;C56&amp;"')","")</f>
        <v/>
      </c>
    </row>
    <row r="134" spans="6:14">
      <c r="F134" s="86" t="s">
        <v>367</v>
      </c>
      <c r="G134" s="76" t="str">
        <f ca="1">"CHGSYSVAL SYSVAL(QDATE) VALUE('"&amp;MID(B21,7,2)&amp;MID(B21,5,2)&amp;MID(B21,3,2)&amp;"')"</f>
        <v>CHGSYSVAL SYSVAL(QDATE) VALUE('310823')</v>
      </c>
    </row>
    <row r="135" spans="6:14">
      <c r="F135" s="59"/>
      <c r="G135" s="139"/>
    </row>
    <row r="136" spans="6:14">
      <c r="F136" s="86" t="s">
        <v>368</v>
      </c>
      <c r="G136" s="76" t="str">
        <f ca="1">"CHGDTAARA DTAARA(ELECTRON/CEDATA (14 6)) VALUE('"&amp;MID(B21,3,2)&amp;MID(B21,5,2)&amp;MID(B21,7,2)&amp;"')"</f>
        <v>CHGDTAARA DTAARA(ELECTRON/CEDATA (14 6)) VALUE('230831')</v>
      </c>
    </row>
    <row r="138" spans="6:14">
      <c r="F138" s="86" t="s">
        <v>180</v>
      </c>
      <c r="G138" s="120" t="s">
        <v>177</v>
      </c>
    </row>
  </sheetData>
  <mergeCells count="30">
    <mergeCell ref="G6:G16"/>
    <mergeCell ref="G20:G21"/>
    <mergeCell ref="H82:H91"/>
    <mergeCell ref="H93:H102"/>
    <mergeCell ref="J32:K32"/>
    <mergeCell ref="G32:G35"/>
    <mergeCell ref="H32:H35"/>
    <mergeCell ref="H48:H50"/>
    <mergeCell ref="F45:F46"/>
    <mergeCell ref="J128:J130"/>
    <mergeCell ref="K128:N128"/>
    <mergeCell ref="K129:L129"/>
    <mergeCell ref="M129:N129"/>
    <mergeCell ref="F128:F129"/>
    <mergeCell ref="F131:F132"/>
    <mergeCell ref="F6:F16"/>
    <mergeCell ref="F20:F21"/>
    <mergeCell ref="F112:F113"/>
    <mergeCell ref="F74:F76"/>
    <mergeCell ref="F87:F89"/>
    <mergeCell ref="F96:F98"/>
    <mergeCell ref="F104:F105"/>
    <mergeCell ref="F107:F108"/>
    <mergeCell ref="F23:F26"/>
    <mergeCell ref="F32:F35"/>
    <mergeCell ref="F70:F72"/>
    <mergeCell ref="F37:F43"/>
    <mergeCell ref="F48:F50"/>
    <mergeCell ref="F62:F64"/>
    <mergeCell ref="F66:F68"/>
  </mergeCells>
  <dataValidations count="1">
    <dataValidation type="list" allowBlank="1" showInputMessage="1" showErrorMessage="1" sqref="B2" xr:uid="{8754D4EB-7F1F-49A0-9A27-69F5DB9D5E7B}">
      <formula1>NOMBRE_BANCO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5" r:id="rId4" name="Check Box 9">
              <controlPr defaultSize="0" autoFill="0" autoLine="0" autoPict="0">
                <anchor moveWithCells="1">
                  <from>
                    <xdr:col>10</xdr:col>
                    <xdr:colOff>57150</xdr:colOff>
                    <xdr:row>32</xdr:row>
                    <xdr:rowOff>12700</xdr:rowOff>
                  </from>
                  <to>
                    <xdr:col>10</xdr:col>
                    <xdr:colOff>298450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5" name="Check Box 10">
              <controlPr defaultSize="0" autoFill="0" autoLine="0" autoPict="0">
                <anchor moveWithCells="1">
                  <from>
                    <xdr:col>10</xdr:col>
                    <xdr:colOff>69850</xdr:colOff>
                    <xdr:row>33</xdr:row>
                    <xdr:rowOff>0</xdr:rowOff>
                  </from>
                  <to>
                    <xdr:col>10</xdr:col>
                    <xdr:colOff>304800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6" name="Check Box 11">
              <controlPr defaultSize="0" autoFill="0" autoLine="0" autoPict="0">
                <anchor moveWithCells="1">
                  <from>
                    <xdr:col>10</xdr:col>
                    <xdr:colOff>69850</xdr:colOff>
                    <xdr:row>34</xdr:row>
                    <xdr:rowOff>0</xdr:rowOff>
                  </from>
                  <to>
                    <xdr:col>10</xdr:col>
                    <xdr:colOff>304800</xdr:colOff>
                    <xdr:row>35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7" name="Check Box 12">
              <controlPr defaultSize="0" autoFill="0" autoLine="0" autoPict="0">
                <anchor moveWithCells="1">
                  <from>
                    <xdr:col>2</xdr:col>
                    <xdr:colOff>298450</xdr:colOff>
                    <xdr:row>14</xdr:row>
                    <xdr:rowOff>165100</xdr:rowOff>
                  </from>
                  <to>
                    <xdr:col>2</xdr:col>
                    <xdr:colOff>685800</xdr:colOff>
                    <xdr:row>16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8" name="Check Box 13">
              <controlPr defaultSize="0" autoFill="0" autoLine="0" autoPict="0">
                <anchor moveWithCells="1">
                  <from>
                    <xdr:col>2</xdr:col>
                    <xdr:colOff>285750</xdr:colOff>
                    <xdr:row>15</xdr:row>
                    <xdr:rowOff>152400</xdr:rowOff>
                  </from>
                  <to>
                    <xdr:col>2</xdr:col>
                    <xdr:colOff>679450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9" name="Check Box 14">
              <controlPr defaultSize="0" autoFill="0" autoLine="0" autoPict="0">
                <anchor moveWithCells="1">
                  <from>
                    <xdr:col>2</xdr:col>
                    <xdr:colOff>285750</xdr:colOff>
                    <xdr:row>17</xdr:row>
                    <xdr:rowOff>0</xdr:rowOff>
                  </from>
                  <to>
                    <xdr:col>2</xdr:col>
                    <xdr:colOff>679450</xdr:colOff>
                    <xdr:row>18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1" r:id="rId10" name="Check Box 15">
              <controlPr defaultSize="0" autoFill="0" autoLine="0" autoPict="0">
                <anchor moveWithCells="1">
                  <from>
                    <xdr:col>2</xdr:col>
                    <xdr:colOff>285750</xdr:colOff>
                    <xdr:row>17</xdr:row>
                    <xdr:rowOff>152400</xdr:rowOff>
                  </from>
                  <to>
                    <xdr:col>2</xdr:col>
                    <xdr:colOff>679450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3" r:id="rId11" name="Check Box 17">
              <controlPr defaultSize="0" autoFill="0" autoLine="0" autoPict="0">
                <anchor moveWithCells="1">
                  <from>
                    <xdr:col>2</xdr:col>
                    <xdr:colOff>285750</xdr:colOff>
                    <xdr:row>19</xdr:row>
                    <xdr:rowOff>0</xdr:rowOff>
                  </from>
                  <to>
                    <xdr:col>2</xdr:col>
                    <xdr:colOff>679450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4" r:id="rId12" name="Check Box 18">
              <controlPr defaultSize="0" autoFill="0" autoLine="0" autoPict="0">
                <anchor moveWithCells="1">
                  <from>
                    <xdr:col>1</xdr:col>
                    <xdr:colOff>717550</xdr:colOff>
                    <xdr:row>21</xdr:row>
                    <xdr:rowOff>184150</xdr:rowOff>
                  </from>
                  <to>
                    <xdr:col>1</xdr:col>
                    <xdr:colOff>1390650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5" r:id="rId13" name="Check Box 19">
              <controlPr defaultSize="0" autoFill="0" autoLine="0" autoPict="0">
                <anchor moveWithCells="1">
                  <from>
                    <xdr:col>1</xdr:col>
                    <xdr:colOff>717550</xdr:colOff>
                    <xdr:row>22</xdr:row>
                    <xdr:rowOff>190500</xdr:rowOff>
                  </from>
                  <to>
                    <xdr:col>1</xdr:col>
                    <xdr:colOff>1390650</xdr:colOff>
                    <xdr:row>24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DA81EDC-6A6D-432A-91A5-87228D30C878}">
          <x14:formula1>
            <xm:f>'Bancos y listas'!$O$2:$O$3</xm:f>
          </x14:formula1>
          <xm:sqref>B26</xm:sqref>
        </x14:dataValidation>
        <x14:dataValidation type="list" allowBlank="1" showInputMessage="1" showErrorMessage="1" xr:uid="{D31E15B8-6F67-4196-B837-1022D889A117}">
          <x14:formula1>
            <xm:f>'Bancos y listas'!$K$2:$K$4</xm:f>
          </x14:formula1>
          <xm:sqref>B25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F3C38-115C-4DBB-A7BB-F7D4F41C05AC}">
  <sheetPr codeName="Hoja10">
    <tabColor theme="8" tint="0.39997558519241921"/>
  </sheetPr>
  <dimension ref="A1:K161"/>
  <sheetViews>
    <sheetView topLeftCell="C114" zoomScale="90" zoomScaleNormal="90" workbookViewId="0">
      <selection activeCell="G132" sqref="G132"/>
    </sheetView>
  </sheetViews>
  <sheetFormatPr baseColWidth="10" defaultColWidth="11.453125" defaultRowHeight="14.5"/>
  <cols>
    <col min="1" max="1" width="24.81640625" style="170" bestFit="1" customWidth="1"/>
    <col min="2" max="2" width="14.26953125" style="170" bestFit="1" customWidth="1"/>
    <col min="3" max="3" width="14.81640625" style="170" bestFit="1" customWidth="1"/>
    <col min="4" max="4" width="11.453125" style="170"/>
    <col min="5" max="5" width="16.81640625" style="170" bestFit="1" customWidth="1"/>
    <col min="6" max="6" width="56.453125" style="170" bestFit="1" customWidth="1"/>
    <col min="7" max="7" width="82.54296875" style="170" bestFit="1" customWidth="1"/>
    <col min="8" max="8" width="27.81640625" style="170" customWidth="1"/>
    <col min="9" max="9" width="11.7265625" style="170" customWidth="1"/>
    <col min="10" max="10" width="11.453125" style="170"/>
    <col min="11" max="11" width="11.81640625" style="170" bestFit="1" customWidth="1"/>
    <col min="12" max="16384" width="11.453125" style="170"/>
  </cols>
  <sheetData>
    <row r="1" spans="1:9" ht="14.25" customHeight="1">
      <c r="A1" s="168" t="s">
        <v>136</v>
      </c>
      <c r="B1" s="168" t="s">
        <v>135</v>
      </c>
      <c r="C1" s="168" t="s">
        <v>134</v>
      </c>
      <c r="D1" s="169"/>
      <c r="E1" s="169"/>
    </row>
    <row r="2" spans="1:9" ht="14.25" customHeight="1">
      <c r="A2" s="168" t="s">
        <v>103</v>
      </c>
      <c r="B2" s="171" t="s">
        <v>645</v>
      </c>
      <c r="C2" s="171"/>
      <c r="D2" s="172"/>
      <c r="E2" s="172"/>
    </row>
    <row r="3" spans="1:9" ht="14.25" customHeight="1">
      <c r="A3" s="168" t="s">
        <v>104</v>
      </c>
      <c r="B3" s="173">
        <f>VLOOKUP(B2,'Bancos y listas'!B:C,2,FALSE)</f>
        <v>74</v>
      </c>
      <c r="C3" s="171"/>
      <c r="D3" s="172"/>
      <c r="E3" s="172"/>
    </row>
    <row r="4" spans="1:9" ht="14.25" customHeight="1">
      <c r="A4" s="168" t="s">
        <v>104</v>
      </c>
      <c r="B4" s="173" t="str">
        <f>REPT("0",2-LEN(B3))&amp;VLOOKUP(B2,'Bancos y listas'!B:C,2,FALSE)</f>
        <v>74</v>
      </c>
      <c r="C4" s="171"/>
      <c r="D4" s="172"/>
      <c r="E4" s="172"/>
    </row>
    <row r="5" spans="1:9" ht="15" customHeight="1">
      <c r="A5" s="168" t="s">
        <v>157</v>
      </c>
      <c r="B5" s="174">
        <v>20230420</v>
      </c>
      <c r="C5" s="171" t="s">
        <v>126</v>
      </c>
      <c r="D5" s="172"/>
      <c r="E5" s="394" t="s">
        <v>198</v>
      </c>
      <c r="F5" s="226" t="s">
        <v>139</v>
      </c>
      <c r="G5" s="176" t="str">
        <f>"CALL PGM(ELECTRON/CEC1835) PARM('B' '00"&amp;B4&amp;"')"</f>
        <v>CALL PGM(ELECTRON/CEC1835) PARM('B' '0074')</v>
      </c>
      <c r="H5" s="177"/>
      <c r="I5" s="178"/>
    </row>
    <row r="6" spans="1:9">
      <c r="A6" s="179" t="s">
        <v>118</v>
      </c>
      <c r="B6" s="173">
        <v>476173</v>
      </c>
      <c r="C6" s="171"/>
      <c r="D6" s="172"/>
      <c r="E6" s="394"/>
      <c r="F6" s="180"/>
    </row>
    <row r="7" spans="1:9">
      <c r="A7" s="179" t="s">
        <v>117</v>
      </c>
      <c r="B7" s="173"/>
      <c r="C7" s="171"/>
      <c r="D7" s="172"/>
      <c r="E7" s="394"/>
      <c r="F7" s="181" t="s">
        <v>138</v>
      </c>
      <c r="G7" s="182" t="s">
        <v>109</v>
      </c>
    </row>
    <row r="8" spans="1:9">
      <c r="A8" s="179" t="s">
        <v>119</v>
      </c>
      <c r="B8" s="173"/>
      <c r="C8" s="171"/>
      <c r="D8" s="172"/>
      <c r="E8" s="394"/>
      <c r="F8" s="180"/>
    </row>
    <row r="9" spans="1:9" ht="15" customHeight="1">
      <c r="A9" s="179" t="s">
        <v>120</v>
      </c>
      <c r="B9" s="173"/>
      <c r="C9" s="171"/>
      <c r="D9" s="172"/>
      <c r="E9" s="394"/>
      <c r="F9" s="411" t="s">
        <v>139</v>
      </c>
      <c r="G9" s="407" t="str">
        <f>"CALL PGM(ELECTRON/CEC1835) PARM('C' '00"&amp;B4&amp;"')"</f>
        <v>CALL PGM(ELECTRON/CEC1835) PARM('C' '0074')</v>
      </c>
      <c r="H9" s="177"/>
      <c r="I9" s="177"/>
    </row>
    <row r="10" spans="1:9" ht="15" customHeight="1">
      <c r="A10" s="179" t="s">
        <v>121</v>
      </c>
      <c r="B10" s="173"/>
      <c r="C10" s="171"/>
      <c r="D10" s="172"/>
      <c r="E10" s="394"/>
      <c r="F10" s="411"/>
      <c r="G10" s="407"/>
      <c r="H10" s="177"/>
      <c r="I10" s="177"/>
    </row>
    <row r="11" spans="1:9" ht="15" customHeight="1">
      <c r="A11" s="179" t="s">
        <v>122</v>
      </c>
      <c r="B11" s="171" t="str">
        <f>IF(B7="","'"&amp;B6&amp;"'",IF(B8="","'"&amp;B6&amp;"',"&amp;"'"&amp;B7&amp;"'",IF(B9="","'"&amp;B6&amp;"',"&amp;"'"&amp;B7&amp;"',"&amp;"'"&amp;B8&amp;"'",IF(B10="","'"&amp;B6&amp;"',"&amp;"'"&amp;B7&amp;"',"&amp;"'"&amp;B8&amp;"',"&amp;"'"&amp;B9&amp;"'",IF(B10&lt;&gt;"","'"&amp;B6&amp;"',"&amp;"'"&amp;B7&amp;"',"&amp;"'"&amp;B8&amp;"',"&amp;"'"&amp;B9&amp;"',"&amp;"'"&amp;B10&amp;"'",)))))</f>
        <v>'476173'</v>
      </c>
      <c r="C11" s="171"/>
      <c r="E11" s="394"/>
      <c r="F11" s="411"/>
      <c r="G11" s="407"/>
      <c r="H11" s="177"/>
      <c r="I11" s="177"/>
    </row>
    <row r="12" spans="1:9" ht="15" customHeight="1">
      <c r="A12" s="179" t="s">
        <v>263</v>
      </c>
      <c r="B12" s="171">
        <v>20230428</v>
      </c>
      <c r="C12" s="171" t="s">
        <v>126</v>
      </c>
      <c r="E12" s="394"/>
      <c r="F12" s="411"/>
      <c r="G12" s="407"/>
      <c r="H12" s="177"/>
      <c r="I12" s="177"/>
    </row>
    <row r="13" spans="1:9" ht="15" customHeight="1">
      <c r="A13" s="179" t="s">
        <v>159</v>
      </c>
      <c r="B13" s="171" t="s">
        <v>160</v>
      </c>
      <c r="C13" s="182"/>
      <c r="E13" s="394"/>
      <c r="F13" s="411"/>
      <c r="G13" s="407"/>
    </row>
    <row r="14" spans="1:9" ht="15" customHeight="1">
      <c r="A14" s="179" t="s">
        <v>161</v>
      </c>
      <c r="B14" s="171" t="s">
        <v>224</v>
      </c>
      <c r="C14" s="182"/>
      <c r="E14" s="394"/>
      <c r="F14" s="411"/>
      <c r="G14" s="407"/>
    </row>
    <row r="15" spans="1:9" ht="15" customHeight="1">
      <c r="A15" s="179" t="s">
        <v>381</v>
      </c>
      <c r="B15" s="171" t="s">
        <v>380</v>
      </c>
      <c r="C15" s="182"/>
      <c r="E15" s="394"/>
      <c r="F15" s="411"/>
      <c r="G15" s="407"/>
    </row>
    <row r="16" spans="1:9" ht="15" customHeight="1">
      <c r="A16" s="168" t="s">
        <v>411</v>
      </c>
      <c r="B16" s="182"/>
      <c r="C16" s="182"/>
      <c r="E16" s="394"/>
      <c r="F16" s="411"/>
      <c r="G16" s="407"/>
      <c r="H16" s="177"/>
      <c r="I16" s="177"/>
    </row>
    <row r="17" spans="1:11" ht="15" customHeight="1">
      <c r="A17" s="183" t="s">
        <v>146</v>
      </c>
      <c r="B17" s="184" t="b">
        <v>1</v>
      </c>
      <c r="C17" s="182"/>
      <c r="E17" s="394"/>
      <c r="F17" s="411"/>
      <c r="G17" s="407"/>
      <c r="H17" s="177"/>
      <c r="I17" s="177"/>
    </row>
    <row r="18" spans="1:11" ht="15" customHeight="1">
      <c r="A18" s="185" t="s">
        <v>148</v>
      </c>
      <c r="B18" s="184" t="b">
        <v>0</v>
      </c>
      <c r="C18" s="182"/>
      <c r="E18" s="394"/>
      <c r="F18" s="411"/>
      <c r="G18" s="407"/>
      <c r="H18" s="177"/>
      <c r="I18" s="177"/>
    </row>
    <row r="19" spans="1:11" ht="15" customHeight="1">
      <c r="A19" s="186" t="s">
        <v>508</v>
      </c>
      <c r="B19" s="187" t="s">
        <v>147</v>
      </c>
      <c r="C19" s="188"/>
      <c r="E19" s="394"/>
      <c r="F19" s="411"/>
      <c r="G19" s="407"/>
      <c r="H19" s="177"/>
      <c r="I19" s="177"/>
    </row>
    <row r="20" spans="1:11">
      <c r="E20" s="394"/>
      <c r="F20" s="180"/>
    </row>
    <row r="21" spans="1:11" ht="15" customHeight="1">
      <c r="E21" s="394"/>
      <c r="F21" s="408" t="s">
        <v>140</v>
      </c>
      <c r="G21" s="189" t="s">
        <v>620</v>
      </c>
      <c r="H21" s="190" t="s">
        <v>146</v>
      </c>
      <c r="I21" s="178"/>
    </row>
    <row r="22" spans="1:11" ht="15" customHeight="1">
      <c r="E22" s="394"/>
      <c r="F22" s="409"/>
      <c r="G22" s="189" t="s">
        <v>621</v>
      </c>
      <c r="H22" s="191" t="s">
        <v>148</v>
      </c>
      <c r="I22" s="192"/>
    </row>
    <row r="23" spans="1:11" ht="15" customHeight="1">
      <c r="E23" s="394"/>
      <c r="F23" s="409"/>
      <c r="G23" s="189" t="s">
        <v>622</v>
      </c>
      <c r="H23" s="193" t="s">
        <v>147</v>
      </c>
      <c r="I23" s="192"/>
    </row>
    <row r="24" spans="1:11">
      <c r="E24" s="394"/>
      <c r="F24" s="409"/>
      <c r="G24" s="189" t="s">
        <v>623</v>
      </c>
      <c r="H24" s="194" t="s">
        <v>556</v>
      </c>
    </row>
    <row r="25" spans="1:11">
      <c r="E25" s="394"/>
      <c r="F25" s="180"/>
      <c r="G25" s="177"/>
      <c r="H25" s="195"/>
    </row>
    <row r="26" spans="1:11">
      <c r="E26" s="394"/>
      <c r="F26" s="181" t="s">
        <v>128</v>
      </c>
      <c r="G26" s="182" t="s">
        <v>128</v>
      </c>
    </row>
    <row r="27" spans="1:11">
      <c r="E27" s="394"/>
      <c r="F27" s="180"/>
    </row>
    <row r="28" spans="1:11">
      <c r="E28" s="394"/>
      <c r="F28" s="196" t="s">
        <v>116</v>
      </c>
      <c r="G28" s="182" t="s">
        <v>116</v>
      </c>
    </row>
    <row r="29" spans="1:11">
      <c r="E29" s="394"/>
      <c r="F29" s="180"/>
    </row>
    <row r="30" spans="1:11" ht="78" customHeight="1">
      <c r="E30" s="394"/>
      <c r="F30" s="39" t="s">
        <v>563</v>
      </c>
      <c r="G30" s="176" t="str">
        <f>IF(B19="EASV",IF(AND(K33=TRUE,K34=TRUE,K35=TRUE),"SELECT DFHTRA, DCDMSG, DCDTYP, DCCADQ, DCCEMI,substr(DCDTAR, 1, 6)||'********'||substr(DCDTAR, 15, 2) AS TARJPRO, DMONT1,DCPAIS,     
DCDRES, DCDAUT FROM BODEGATMP/FTLF_YS where DCCEMI like '%"&amp;B4&amp;"%' AND substr(DCDTAR, 1, 6)in ("&amp;B11&amp;") and DCDAUT&lt;&gt;''  ORDER BY DCDAUT",IF(AND(K33=TRUE,K34=TRUE),"SELECT DFHTRA, DCDMSG, DCDTYP, DCCADQ, DCCEMI,substr(DCDTAR, 1, 6)||'********'||substr(DCDTAR, 15, 2) AS TARJPRO, DMONT1,DCPAIS,     
DCDRES, DCDAUT FROM BODEGATMP/FTLF_YS where  substr(DCDTAR, 1, 6)in ("&amp;B11&amp;") and DCDAUT&lt;&gt;''  ORDER BY DCDAUT",IF(AND(K34=TRUE,K35=TRUE),"SELECT DFHTRA, DCDMSG, DCDTYP, DCCADQ, DCCEMI,substr(DCDTAR, 1, 6)||'********'||substr(DCDTAR, 15, 2) AS TARJPRO, DMONT1,DCPAIS,     
DCDRES, DCDAUT FROM BODEGATMP/FTLF_YS where DCCEMI like '%"&amp;B4&amp;"%' AND substr(DCDTAR, 1, 6)in ("&amp;B11&amp;") ORDER BY DCDAUT",IF(AND(K33=TRUE,K35=TRUE),"SELECT DFHTRA, DCDMSG, DCDTYP, DCCADQ, DCCEMI,substr(DCDTAR, 1, 6)||'********'||substr(DCDTAR, 15, 2) AS TARJPRO, DMONT1,DCPAIS,     
DCDRES, DCDAUT FROM BODEGATMP/FTLF_YS where DCCEMI like '%"&amp;B4&amp;"%' and DCDAUT&lt;&gt;''  ORDER BY DCDAUT",IF(K33=TRUE,"SELECT DFHTRA, DCDMSG, DCDTYP, DCCADQ, DCCEMI,substr(DCDTAR, 1, 6)||'********'||substr(DCDTAR, 15, 2) AS TARJPRO, DMONT1,DCPAIS,     
DCDRES, DCDAUT FROM BODEGATMP/FTLF_YS where DCDAUT&lt;&gt;''  ORDER BY DCDAUT",IF(K34=TRUE,"SELECT DFHTRA, DCDMSG, DCDTYP, DCCADQ, DCCEMI,substr(DCDTAR, 1, 6)||'********'||substr(DCDTAR, 15, 2) AS TARJPRO, DMONT1,DCPAIS,     
DCDRES, DCDAUT FROM BODEGATMP/FTLF_YS where  substr(DCDTAR, 1, 6)in ("&amp;B11&amp;") ORDER BY DCDAUT",IF(K35=TRUE,"SELECT DFHTRA, DCDMSG, DCDTYP, DCCADQ, DCCEMI,substr(DCDTAR, 1, 6)||'********'||substr(DCDTAR, 15, 2) AS TARJPRO, DMONT1,DCPAIS,     
DCDRES, DCDAUT FROM BODEGATMP/FTLF_YS where DCCEMI like '%"&amp;B4&amp;"%' ORDER BY DCDAUT","SELECT DFHTRA, DCDMSG, DCDTYP, DCCADQ, DCCEMI,substr(DCDTAR, 1, 6)||'********'||substr(DCDTAR, 15, 2) AS TARJPRO, DMONT1,DCPAIS,     
DCDRES, DCDAUT FROM BODEGATMP/FTLF_YS  ORDER BY DCDAUT"))))))),IF(B19="REDEBAN",IF(AND(K33=TRUE,K34=TRUE,K35=TRUE),"SELECT DFHTRA, DCDMSG, DCDTYP, DCCADQ, DCCEMI,substr(DCDTAR, 1, 6)||'********'||substr(DCDTAR, 15, 2) AS TARJPRO, DMONT1,DCPAIS,     
DCDRES, DCDAUT FROM BODEGATMP/FTLF_NS where DCCEMI like '%"&amp;B4&amp;"%' AND substr(DCDTAR, 1, 6)in ("&amp;B11&amp;") and DCDAUT&lt;&gt;''  ORDER BY DCDAUT",IF(AND(K33=TRUE,K34=TRUE),"SELECT DFHTRA, DCDMSG, DCDTYP, DCCADQ, DCCEMI,substr(DCDTAR, 1, 6)||'********'||substr(DCDTAR, 15, 2) AS TARJPRO, DMONT1,DCPAIS,     
DCDRES, DCDAUT FROM BODEGATMP/FTLF_NS where  substr(DCDTAR, 1, 6)in ("&amp;B11&amp;") and DCDAUT&lt;&gt;''  ORDER BY DCDAUT",IF(AND(K34=TRUE,K35=TRUE),"SELECT DFHTRA, DCDMSG, DCDTYP, DCCADQ, DCCEMI,substr(DCDTAR, 1, 6)||'********'||substr(DCDTAR, 15, 2) AS TARJPRO, DMONT1,DCPAIS,     
DCDRES, DCDAUT FROM BODEGATMP/FTLF_NS where DCCEMI like '%"&amp;B4&amp;"%' AND substr(DCDTAR, 1, 6)in ("&amp;B11&amp;") ORDER BY DCDAUT",IF(AND(K33=TRUE,K35=TRUE),"SELECT DFHTRA, DCDMSG, DCDTYP, DCCADQ, DCCEMI,substr(DCDTAR, 1, 6)||'********'||substr(DCDTAR, 15, 2) AS TARJPRO, DMONT1,DCPAIS,     
DCDRES, DCDAUT FROM BODEGATMP/FTLF_NS where DCCEMI like '%"&amp;B4&amp;"%' and DCDAUT&lt;&gt;''  ORDER BY DCDAUT",IF(K33=TRUE,"SELECT DFHTRA, DCDMSG, DCDTYP, DCCADQ, DCCEMI,substr(DCDTAR, 1, 6)||'********'||substr(DCDTAR, 15, 2) AS TARJPRO, DMONT1,DCPAIS,     
DCDRES, DCDAUT FROM BODEGATMP/FTLF_NS where DCDAUT&lt;&gt;''  ORDER BY DCDAUT",IF(K34=TRUE,"SELECT DFHTRA, DCDMSG, DCDTYP, DCCADQ, DCCEMI,substr(DCDTAR, 1, 6)||'********'||substr(DCDTAR, 15, 2) AS TARJPRO, DMONT1,DCPAIS,     
DCDRES, DCDAUT FROM BODEGATMP/FTLF_NS where  substr(DCDTAR, 1, 6)in ("&amp;B11&amp;") ORDER BY DCDAUT",IF(K35=TRUE,"SELECT DFHTRA, DCDMSG, DCDTYP, DCCADQ, DCCEMI,substr(DCDTAR, 1, 6)||'********'||substr(DCDTAR, 15, 2) AS TARJPRO, DMONT1,DCPAIS,     
DCDRES, DCDAUT FROM BODEGATMP/FTLF_NS where DCCEMI like '%"&amp;B4&amp;"%' ORDER BY DCDAUT","SELECT DFHTRA, DCDMSG, DCDTYP, DCCADQ, DCCEMI,substr(DCDTAR, 1, 6)||'********'||substr(DCDTAR, 15, 2) AS TARJPRO, DMONT1,DCPAIS,     
DCDRES, DCDAUT FROM BODEGATMP/FTLF_NS  ORDER BY DCDAUT"))))))),""))</f>
        <v>SELECT DFHTRA, DCDMSG, DCDTYP, DCCADQ, DCCEMI,substr(DCDTAR, 1, 6)||'********'||substr(DCDTAR, 15, 2) AS TARJPRO, DMONT1,DCPAIS,     
DCDRES, DCDAUT FROM BODEGATMP/FTLF_YS where DCCEMI like '%74%' AND substr(DCDTAR, 1, 6)in ('476173') and DCDAUT&lt;&gt;''  ORDER BY DCDAUT</v>
      </c>
      <c r="H30" s="197" t="str">
        <f>B19</f>
        <v>EASV</v>
      </c>
      <c r="I30" s="177"/>
      <c r="J30" s="177"/>
      <c r="K30" s="177"/>
    </row>
    <row r="31" spans="1:11" ht="15" customHeight="1">
      <c r="E31" s="394"/>
      <c r="F31" s="60"/>
      <c r="G31" s="177"/>
      <c r="H31" s="177"/>
      <c r="K31" s="177"/>
    </row>
    <row r="32" spans="1:11" ht="15" customHeight="1">
      <c r="E32" s="394"/>
      <c r="F32" s="356" t="s">
        <v>561</v>
      </c>
      <c r="G32" s="407" t="str">
        <f>IF(AND(K33=TRUE,K34=TRUE,K35=TRUE),"select DFHTRA, DCDMSG, DFIDID, DTPTRA, DCDEST, DTERMI, DCDRES,DREFER, DCAPFL, DCDTAR,substr(DCDTAR, 1, 6), DMONT1,DCPAIS from BODEGATMP/FPTLFYS where DFIDID like '%"&amp;B4&amp;"%' AND substr(DCDTAR, 1, 6)in ("&amp;B11&amp;") and DREFER&lt;&gt;''  ORDER BY DREFER,DCAPFL",IF(AND(K33=TRUE,K34=TRUE),"select DFHTRA, DCDMSG, DFIDID, DTPTRA, DCDEST, DTERMI, DCDRES,DREFER, DCAPFL, DCDTAR,substr(DCDTAR, 1, 6), DMONT1,DCPAIS from BODEGATMP/FPTLFYS where substr(DCDTAR, 1, 6)in ("&amp;B11&amp;") and DREFER&lt;&gt;''  ORDER BY DREFER,DCAPFL",IF(AND(K34=TRUE,K35=TRUE),"select DFHTRA, DCDMSG, DFIDID, DTPTRA, DCDEST, DTERMI, DCDRES,DREFER, DCAPFL, DCDTAR,substr(DCDTAR, 1, 6), DMONT1,DCPAIS from BODEGATMP/FPTLFYS where DFIDID like '%"&amp;B4&amp;"%' AND substr(DCDTAR, 1, 6)in ("&amp;B11&amp;") ORDER BY DREFER,DCAPFL",IF(AND(K33=TRUE,K35=TRUE),"select DFHTRA, DCDMSG, DFIDID, DTPTRA, DCDEST, DTERMI, DCDRES,DREFER, DCAPFL, DCDTAR,substr(DCDTAR, 1, 6), DMONT1,DCPAIS from BODEGATMP/FPTLFYS where DFIDID like '%"&amp;B4&amp;"%' and DREFER&lt;&gt;''  ORDER BY DREFER,DCAPFL",IF(K33=TRUE,"select DFHTRA, DCDMSG, DFIDID, DTPTRA, DCDEST, DTERMI, DCDRES,DREFER, DCAPFL, DCDTAR,substr(DCDTAR, 1, 6), DMONT1,DCPAIS from BODEGATMP/FPTLFYS where  DREFER&lt;&gt;''  ORDER BY DREFER,DCAPFL",IF(K34=TRUE,"select DFHTRA, DCDMSG, DFIDID, DTPTRA, DCDEST, DTERMI, DCDRES,DREFER, DCAPFL, DCDTAR,substr(DCDTAR, 1, 6), DMONT1,DCPAIS from BODEGATMP/FPTLFYS where  substr(DCDTAR, 1, 6)in ("&amp;B11&amp;")   ORDER BY DREFER,DCAPFL",IF(K35=TRUE,"select DFHTRA, DCDMSG, DFIDID, DTPTRA, DCDEST, DTERMI, DCDRES,DREFER, DCAPFL, DCDTAR,substr(DCDTAR, 1, 6), DMONT1,DCPAIS from BODEGATMP/FPTLFYS where DFIDID like '%"&amp;B4&amp;"%'  ORDER BY DREFER,DCAPFL","select DFHTRA, DCDMSG, DFIDID, DTPTRA, DCDEST, DTERMI, DCDRES,DREFER, DCAPFL, DCDTAR,substr(DCDTAR, 1, 6), DMONT1,DCPAIS from BODEGATMP/FPTLFYS ORDER BY DREFER,DCAPFL")))))))</f>
        <v>select DFHTRA, DCDMSG, DFIDID, DTPTRA, DCDEST, DTERMI, DCDRES,DREFER, DCAPFL, DCDTAR,substr(DCDTAR, 1, 6), DMONT1,DCPAIS from BODEGATMP/FPTLFYS where DFIDID like '%74%' AND substr(DCDTAR, 1, 6)in ('476173') and DREFER&lt;&gt;''  ORDER BY DREFER,DCAPFL</v>
      </c>
      <c r="H32" s="410" t="s">
        <v>146</v>
      </c>
      <c r="J32" s="386" t="s">
        <v>315</v>
      </c>
      <c r="K32" s="386"/>
    </row>
    <row r="33" spans="5:11" ht="15" customHeight="1">
      <c r="E33" s="394"/>
      <c r="F33" s="351"/>
      <c r="G33" s="407"/>
      <c r="H33" s="410"/>
      <c r="J33" s="198" t="s">
        <v>314</v>
      </c>
      <c r="K33" s="199" t="b">
        <v>1</v>
      </c>
    </row>
    <row r="34" spans="5:11" ht="15" customHeight="1">
      <c r="E34" s="394"/>
      <c r="F34" s="351"/>
      <c r="G34" s="407"/>
      <c r="H34" s="410"/>
      <c r="J34" s="200" t="s">
        <v>312</v>
      </c>
      <c r="K34" s="199" t="b">
        <v>1</v>
      </c>
    </row>
    <row r="35" spans="5:11" ht="15.75" customHeight="1">
      <c r="E35" s="394"/>
      <c r="F35" s="351"/>
      <c r="G35" s="407"/>
      <c r="H35" s="410"/>
      <c r="J35" s="200" t="s">
        <v>313</v>
      </c>
      <c r="K35" s="199" t="b">
        <v>1</v>
      </c>
    </row>
    <row r="36" spans="5:11">
      <c r="E36" s="394"/>
      <c r="F36" s="180"/>
      <c r="H36" s="201"/>
    </row>
    <row r="37" spans="5:11">
      <c r="E37" s="394"/>
      <c r="F37" s="392" t="s">
        <v>142</v>
      </c>
      <c r="G37" s="182" t="str">
        <f>"SELECT * FROM SISTEMAS.PLF0100A WHERE MBANCO = "&amp;B4&amp;" AND MBINCO IN ("&amp;B11&amp;")"</f>
        <v>SELECT * FROM SISTEMAS.PLF0100A WHERE MBANCO = 74 AND MBINCO IN ('476173')</v>
      </c>
      <c r="H37" s="202" t="s">
        <v>416</v>
      </c>
    </row>
    <row r="38" spans="5:11">
      <c r="E38" s="394"/>
      <c r="F38" s="392"/>
      <c r="G38" s="182" t="str">
        <f>"SELECT * FROM SISTEMAS.SWFTAB08 WHERE RCDCMP = "&amp;B4&amp;" AND RCDBIN IN ("&amp;B11&amp;")"</f>
        <v>SELECT * FROM SISTEMAS.SWFTAB08 WHERE RCDCMP = 74 AND RCDBIN IN ('476173')</v>
      </c>
      <c r="H38" s="202" t="s">
        <v>417</v>
      </c>
    </row>
    <row r="39" spans="5:11">
      <c r="E39" s="394"/>
      <c r="F39" s="392"/>
      <c r="G39" s="182" t="str">
        <f>"SELECT * FROM SISTEMAS.REFTAB08 WHERE  RBINCO IN ("&amp;B11&amp;")"</f>
        <v>SELECT * FROM SISTEMAS.REFTAB08 WHERE  RBINCO IN ('476173')</v>
      </c>
      <c r="H39" s="202" t="s">
        <v>418</v>
      </c>
    </row>
    <row r="40" spans="5:11">
      <c r="E40" s="394"/>
      <c r="F40" s="392"/>
      <c r="G40" s="182" t="str">
        <f>"SELECT * FROM SISTEMAS.SIF0100B WHERE DCDCMP = "&amp;B4&amp;" AND DCDBIN IN ("&amp;B11&amp;")"</f>
        <v>SELECT * FROM SISTEMAS.SIF0100B WHERE DCDCMP = 74 AND DCDBIN IN ('476173')</v>
      </c>
      <c r="H40" s="202" t="s">
        <v>419</v>
      </c>
    </row>
    <row r="41" spans="5:11">
      <c r="E41" s="394"/>
      <c r="F41" s="392"/>
      <c r="G41" s="182" t="str">
        <f>"SELECT * FROM BASEDOS.BAFTAB40 WHERE RCDCMP = "&amp;B4&amp;" AND RCDBIN IN ("&amp;B11&amp;")"</f>
        <v>SELECT * FROM BASEDOS.BAFTAB40 WHERE RCDCMP = 74 AND RCDBIN IN ('476173')</v>
      </c>
      <c r="H41" s="202" t="s">
        <v>420</v>
      </c>
    </row>
    <row r="42" spans="5:11">
      <c r="E42" s="394"/>
      <c r="F42" s="392"/>
      <c r="G42" s="182" t="str">
        <f>"SELECT * FROM SISTEMAS.REFTAB23 WHERE RCDBIN IN("&amp;B11&amp;")"</f>
        <v>SELECT * FROM SISTEMAS.REFTAB23 WHERE RCDBIN IN('476173')</v>
      </c>
      <c r="H42" s="202" t="s">
        <v>421</v>
      </c>
    </row>
    <row r="43" spans="5:11">
      <c r="E43" s="394"/>
      <c r="F43" s="392"/>
      <c r="G43" s="182" t="str">
        <f>"SELECT * FROM BASEDOS/VDF0304E WHERE BINCOD C20IN ("&amp;B11&amp;")"</f>
        <v>SELECT * FROM BASEDOS/VDF0304E WHERE BINCOD C20IN ('476173')</v>
      </c>
      <c r="H43" s="202" t="s">
        <v>421</v>
      </c>
    </row>
    <row r="44" spans="5:11">
      <c r="E44" s="394"/>
      <c r="F44" s="180"/>
      <c r="G44" s="203"/>
    </row>
    <row r="45" spans="5:11">
      <c r="E45" s="394"/>
      <c r="F45" s="204" t="s">
        <v>143</v>
      </c>
      <c r="G45" s="205" t="s">
        <v>123</v>
      </c>
    </row>
    <row r="46" spans="5:11">
      <c r="E46" s="394"/>
      <c r="F46" s="180"/>
    </row>
    <row r="47" spans="5:11">
      <c r="E47" s="394"/>
      <c r="F47" s="180"/>
    </row>
    <row r="48" spans="5:11" ht="29">
      <c r="E48" s="394"/>
      <c r="F48" s="405" t="s">
        <v>199</v>
      </c>
      <c r="G48" s="206" t="str">
        <f>"SELECT * FROM CANJE/CAFCNTRL  WHERE TANOCA =' "&amp;MID(B5,3,2)&amp;"' AND TMESCA =' "&amp;MID(B5,5,2)&amp;"' AND TDIACA = '"&amp;MID(B5,7,2)+1&amp;"' ORDER BY TFECHA desc"</f>
        <v>SELECT * FROM CANJE/CAFCNTRL  WHERE TANOCA =' 23' AND TMESCA =' 04' AND TDIACA = '21' ORDER BY TFECHA desc</v>
      </c>
      <c r="H48" s="387" t="s">
        <v>145</v>
      </c>
      <c r="I48" s="385"/>
    </row>
    <row r="49" spans="5:9">
      <c r="E49" s="394"/>
      <c r="F49" s="405"/>
      <c r="G49" s="206" t="s">
        <v>124</v>
      </c>
      <c r="H49" s="387"/>
      <c r="I49" s="385"/>
    </row>
    <row r="50" spans="5:9">
      <c r="E50" s="394"/>
      <c r="F50" s="405"/>
      <c r="G50" s="206" t="s">
        <v>125</v>
      </c>
      <c r="H50" s="387"/>
      <c r="I50" s="385"/>
    </row>
    <row r="51" spans="5:9">
      <c r="E51" s="394"/>
      <c r="F51" s="180"/>
    </row>
    <row r="52" spans="5:9" ht="58">
      <c r="E52" s="394"/>
      <c r="F52" s="204" t="s">
        <v>200</v>
      </c>
      <c r="G52" s="205" t="str">
        <f>"CHGJOB DATE("&amp;TEXT(MID(B5,7,2)+1,"dd")&amp;MID(B5,5,2)&amp;MID(B5,3,2)&amp;")"</f>
        <v>CHGJOB DATE(210423)</v>
      </c>
      <c r="H52" s="208" t="s">
        <v>145</v>
      </c>
      <c r="I52" s="207"/>
    </row>
    <row r="53" spans="5:9">
      <c r="E53" s="394"/>
      <c r="F53" s="180"/>
    </row>
    <row r="54" spans="5:9">
      <c r="E54" s="394"/>
      <c r="F54" s="209" t="s">
        <v>150</v>
      </c>
      <c r="G54" s="210" t="s">
        <v>127</v>
      </c>
    </row>
    <row r="55" spans="5:9">
      <c r="E55" s="394"/>
      <c r="F55" s="180"/>
    </row>
    <row r="56" spans="5:9">
      <c r="E56" s="394"/>
      <c r="F56" s="209" t="s">
        <v>128</v>
      </c>
      <c r="G56" s="182" t="s">
        <v>128</v>
      </c>
    </row>
    <row r="57" spans="5:9">
      <c r="E57" s="394"/>
      <c r="F57" s="180"/>
    </row>
    <row r="58" spans="5:9">
      <c r="E58" s="394"/>
      <c r="F58" s="209" t="s">
        <v>165</v>
      </c>
      <c r="G58" s="182" t="str">
        <f>"CALL PGM(ELECTRON/CEC1840) PARM('"&amp;MID(B5,3,2)&amp;MID(B5,5,2)&amp;TEXT(MID(B5,7,2)+1,"dd")&amp;"' 'N' 'N' '0000' '"&amp;REPT(0,4-LEN(B4))&amp;B4&amp;"' '0000' '0000' '"&amp;REPT(0,4-LEN(B4))&amp;B4&amp;"' '0000')"</f>
        <v>CALL PGM(ELECTRON/CEC1840) PARM('230421' 'N' 'N' '0000' '0074' '0000' '0000' '0074' '0000')</v>
      </c>
    </row>
    <row r="59" spans="5:9">
      <c r="E59" s="175"/>
      <c r="F59" s="180"/>
    </row>
    <row r="60" spans="5:9">
      <c r="E60" s="175"/>
      <c r="F60" s="211" t="s">
        <v>269</v>
      </c>
      <c r="G60" s="182" t="str">
        <f>IF(B15="PRINCIPAL","WRKF FILE(ELECTRON/PE"&amp;MID(B12,3,6)&amp;")","WRKF FILE(ELECTRON/VE"&amp;MID(B12,3,6)&amp;")")</f>
        <v>WRKF FILE(ELECTRON/VE230428)</v>
      </c>
    </row>
    <row r="62" spans="5:9">
      <c r="E62" s="394" t="s">
        <v>281</v>
      </c>
      <c r="F62" s="212" t="s">
        <v>270</v>
      </c>
      <c r="G62" s="213" t="str">
        <f>"SAVOBJ OBJ(BAFCNTR2 BAFCNTRL) LIB(BASEDOS) DEV(*SAVF) SAVF("&amp;B14&amp;"/"&amp;B13&amp;")"</f>
        <v>SAVOBJ OBJ(BAFCNTR2 BAFCNTRL) LIB(BASEDOS) DEV(*SAVF) SAVF(OPERACION/PASEN)</v>
      </c>
      <c r="H62" s="388" t="s">
        <v>163</v>
      </c>
    </row>
    <row r="63" spans="5:9">
      <c r="E63" s="394"/>
      <c r="F63" s="214"/>
      <c r="G63" s="215"/>
      <c r="H63" s="389"/>
    </row>
    <row r="64" spans="5:9">
      <c r="E64" s="394"/>
      <c r="F64" s="212" t="s">
        <v>232</v>
      </c>
      <c r="G64" s="182" t="s">
        <v>210</v>
      </c>
      <c r="H64" s="389"/>
    </row>
    <row r="65" spans="5:8">
      <c r="E65" s="394"/>
      <c r="F65" s="212" t="s">
        <v>233</v>
      </c>
      <c r="G65" s="216" t="s">
        <v>212</v>
      </c>
      <c r="H65" s="389"/>
    </row>
    <row r="66" spans="5:8">
      <c r="E66" s="394"/>
      <c r="F66" s="214"/>
      <c r="G66" s="217"/>
      <c r="H66" s="389"/>
    </row>
    <row r="67" spans="5:8">
      <c r="E67" s="394"/>
      <c r="F67" s="399" t="s">
        <v>234</v>
      </c>
      <c r="G67" s="182" t="s">
        <v>213</v>
      </c>
      <c r="H67" s="389"/>
    </row>
    <row r="68" spans="5:8">
      <c r="E68" s="394"/>
      <c r="F68" s="399"/>
      <c r="G68" s="182" t="s">
        <v>215</v>
      </c>
      <c r="H68" s="389"/>
    </row>
    <row r="69" spans="5:8">
      <c r="E69" s="394"/>
      <c r="F69" s="399"/>
      <c r="G69" s="182" t="s">
        <v>216</v>
      </c>
      <c r="H69" s="389"/>
    </row>
    <row r="70" spans="5:8">
      <c r="E70" s="394"/>
      <c r="F70" s="198"/>
      <c r="G70" s="217"/>
      <c r="H70" s="389"/>
    </row>
    <row r="71" spans="5:8">
      <c r="E71" s="394"/>
      <c r="F71" s="212" t="s">
        <v>226</v>
      </c>
      <c r="G71" s="182" t="str">
        <f>"put /QSYS.LIB/"&amp;B14&amp;".LIB/"&amp;B13&amp;".FILE "&amp;B13</f>
        <v>put /QSYS.LIB/OPERACION.LIB/PASEN.FILE PASEN</v>
      </c>
      <c r="H71" s="390"/>
    </row>
    <row r="72" spans="5:8">
      <c r="E72" s="394"/>
    </row>
    <row r="73" spans="5:8">
      <c r="E73" s="394"/>
      <c r="F73" s="209" t="s">
        <v>228</v>
      </c>
      <c r="G73" s="182" t="s">
        <v>210</v>
      </c>
      <c r="H73" s="391" t="s">
        <v>164</v>
      </c>
    </row>
    <row r="74" spans="5:8">
      <c r="E74" s="394"/>
      <c r="F74" s="209" t="s">
        <v>229</v>
      </c>
      <c r="G74" s="216" t="s">
        <v>212</v>
      </c>
      <c r="H74" s="392"/>
    </row>
    <row r="75" spans="5:8">
      <c r="E75" s="394"/>
      <c r="F75" s="180"/>
      <c r="H75" s="393"/>
    </row>
    <row r="76" spans="5:8">
      <c r="E76" s="394"/>
      <c r="F76" s="400" t="s">
        <v>230</v>
      </c>
      <c r="G76" s="182" t="s">
        <v>213</v>
      </c>
      <c r="H76" s="392"/>
    </row>
    <row r="77" spans="5:8">
      <c r="E77" s="394"/>
      <c r="F77" s="401"/>
      <c r="G77" s="182" t="s">
        <v>215</v>
      </c>
      <c r="H77" s="392"/>
    </row>
    <row r="78" spans="5:8">
      <c r="E78" s="394"/>
      <c r="F78" s="402"/>
      <c r="G78" s="182" t="s">
        <v>216</v>
      </c>
      <c r="H78" s="392"/>
    </row>
    <row r="79" spans="5:8">
      <c r="E79" s="394"/>
      <c r="F79" s="218"/>
      <c r="G79" s="217"/>
      <c r="H79" s="393"/>
    </row>
    <row r="80" spans="5:8">
      <c r="E80" s="394"/>
      <c r="F80" s="209" t="s">
        <v>231</v>
      </c>
      <c r="G80" s="182" t="str">
        <f>"get "&amp;B13&amp;" /QSYS.LIB/"&amp;B14&amp;".LIB/"&amp;B13&amp;".FILE (replace"</f>
        <v>get PASEN /QSYS.LIB/OPERACION.LIB/PASEN.FILE (replace</v>
      </c>
      <c r="H80" s="392"/>
    </row>
    <row r="81" spans="5:10">
      <c r="E81" s="394"/>
      <c r="F81" s="180"/>
      <c r="H81" s="393"/>
    </row>
    <row r="82" spans="5:10" ht="29">
      <c r="E82" s="394"/>
      <c r="F82" s="209" t="s">
        <v>173</v>
      </c>
      <c r="G82" s="213" t="str">
        <f>"RSTOBJ OBJ(BAFCNTR2 BAFCNTRL) SAVLIB(BASEDOS) DEV(*SAVF) SAVF("&amp;B14&amp;"/"&amp;B13&amp;") RSTLIB(BODEGATMP)"</f>
        <v>RSTOBJ OBJ(BAFCNTR2 BAFCNTRL) SAVLIB(BASEDOS) DEV(*SAVF) SAVF(OPERACION/PASEN) RSTLIB(BODEGATMP)</v>
      </c>
      <c r="H82" s="392"/>
    </row>
    <row r="83" spans="5:10">
      <c r="E83" s="394"/>
      <c r="F83" s="180"/>
      <c r="G83" s="215"/>
    </row>
    <row r="84" spans="5:10" ht="29">
      <c r="E84" s="394"/>
      <c r="F84" s="403" t="s">
        <v>174</v>
      </c>
      <c r="G84" s="213" t="s">
        <v>166</v>
      </c>
      <c r="H84" s="219" t="s">
        <v>154</v>
      </c>
    </row>
    <row r="85" spans="5:10" ht="29">
      <c r="E85" s="394"/>
      <c r="F85" s="404"/>
      <c r="G85" s="213" t="s">
        <v>167</v>
      </c>
      <c r="H85" s="219" t="s">
        <v>155</v>
      </c>
    </row>
    <row r="86" spans="5:10">
      <c r="E86" s="394"/>
      <c r="F86" s="180"/>
      <c r="G86" s="215"/>
    </row>
    <row r="87" spans="5:10">
      <c r="E87" s="394"/>
      <c r="F87" s="204" t="s">
        <v>150</v>
      </c>
      <c r="G87" s="213" t="s">
        <v>127</v>
      </c>
    </row>
    <row r="88" spans="5:10">
      <c r="E88" s="394"/>
      <c r="F88" s="220"/>
      <c r="G88" s="221"/>
    </row>
    <row r="89" spans="5:10">
      <c r="E89" s="394"/>
      <c r="F89" s="204" t="s">
        <v>176</v>
      </c>
      <c r="G89" s="213" t="s">
        <v>175</v>
      </c>
    </row>
    <row r="90" spans="5:10">
      <c r="E90" s="394"/>
      <c r="F90" s="180"/>
      <c r="G90" s="215"/>
    </row>
    <row r="91" spans="5:10">
      <c r="E91" s="394"/>
      <c r="F91" s="204" t="s">
        <v>150</v>
      </c>
      <c r="G91" s="213" t="s">
        <v>127</v>
      </c>
    </row>
    <row r="92" spans="5:10">
      <c r="E92" s="394"/>
      <c r="F92" s="180"/>
      <c r="G92" s="215"/>
    </row>
    <row r="93" spans="5:10" ht="15" customHeight="1">
      <c r="E93" s="394"/>
      <c r="F93" s="405" t="s">
        <v>264</v>
      </c>
      <c r="G93" s="213" t="str">
        <f>IF(B15="PRINCIPAL","DELETE BASEDOS/BAFCNTRL WHERE  DFHAMD&gt;"&amp;B12,"DELETE BASEDOS/BAFCNTRL WHERE  DFHAMD&gt;="&amp;B12)</f>
        <v>DELETE BASEDOS/BAFCNTRL WHERE  DFHAMD&gt;=20230428</v>
      </c>
      <c r="H93" s="219" t="s">
        <v>154</v>
      </c>
      <c r="I93" s="222"/>
      <c r="J93" s="222"/>
    </row>
    <row r="94" spans="5:10">
      <c r="E94" s="394"/>
      <c r="F94" s="405"/>
      <c r="G94" s="213" t="str">
        <f>IF(B15="PRINCIPAL","DELETE BASEDOS/BAFCNTR2 WHERE DFHAMD &gt;"&amp;B12,"DELETE BASEDOS/BAFCNTR2 WHERE DFHAMD &gt;="&amp;B12)</f>
        <v>DELETE BASEDOS/BAFCNTR2 WHERE DFHAMD &gt;=20230428</v>
      </c>
      <c r="H94" s="219" t="s">
        <v>155</v>
      </c>
      <c r="I94" s="222"/>
      <c r="J94" s="222"/>
    </row>
    <row r="95" spans="5:10">
      <c r="E95" s="394"/>
      <c r="F95" s="180"/>
    </row>
    <row r="96" spans="5:10" ht="15" customHeight="1">
      <c r="E96" s="394"/>
      <c r="F96" s="204" t="s">
        <v>265</v>
      </c>
      <c r="G96" s="182" t="str">
        <f>"update basedos/bafcntr2 set dcnout = ' ' where DFHAMD='"&amp;B12&amp;"'"</f>
        <v>update basedos/bafcntr2 set dcnout = ' ' where DFHAMD='20230428'</v>
      </c>
      <c r="H96" s="219" t="s">
        <v>154</v>
      </c>
      <c r="I96" s="222"/>
      <c r="J96" s="222"/>
    </row>
    <row r="97" spans="5:10">
      <c r="E97" s="394"/>
      <c r="F97" s="204" t="s">
        <v>266</v>
      </c>
      <c r="G97" s="182" t="str">
        <f>"update basedos/bafcntrl set dcnout = ' ' where DFHAMD='"&amp;B12&amp;"'"</f>
        <v>update basedos/bafcntrl set dcnout = ' ' where DFHAMD='20230428'</v>
      </c>
      <c r="H97" s="219" t="s">
        <v>155</v>
      </c>
      <c r="I97" s="222"/>
      <c r="J97" s="222"/>
    </row>
    <row r="98" spans="5:10">
      <c r="E98" s="394"/>
      <c r="F98" s="180"/>
    </row>
    <row r="99" spans="5:10">
      <c r="E99" s="394"/>
      <c r="F99" s="204" t="s">
        <v>150</v>
      </c>
      <c r="G99" s="213" t="s">
        <v>127</v>
      </c>
    </row>
    <row r="100" spans="5:10">
      <c r="E100" s="394"/>
      <c r="F100" s="180"/>
    </row>
    <row r="101" spans="5:10">
      <c r="E101" s="394"/>
      <c r="F101" s="204" t="s">
        <v>267</v>
      </c>
      <c r="G101" s="182" t="s">
        <v>268</v>
      </c>
    </row>
    <row r="102" spans="5:10">
      <c r="E102" s="394"/>
    </row>
    <row r="103" spans="5:10">
      <c r="E103" s="394"/>
      <c r="F103" s="395" t="s">
        <v>325</v>
      </c>
      <c r="G103" s="182" t="s">
        <v>116</v>
      </c>
    </row>
    <row r="104" spans="5:10" ht="29">
      <c r="E104" s="394"/>
      <c r="F104" s="396"/>
      <c r="G104" s="223" t="str">
        <f>"SELECT DFHAMD as FECHA_EJEC_PRUEBA,DFCOUT VALOR_DOLAR FROM BASEDOS.BAFCNTRL WHERE DFHAMD = '"&amp;B12&amp;"'"</f>
        <v>SELECT DFHAMD as FECHA_EJEC_PRUEBA,DFCOUT VALOR_DOLAR FROM BASEDOS.BAFCNTRL WHERE DFHAMD = '20230428'</v>
      </c>
      <c r="H104" s="224" t="s">
        <v>619</v>
      </c>
      <c r="I104" s="188">
        <v>4654.1400000000003</v>
      </c>
    </row>
    <row r="105" spans="5:10">
      <c r="E105" s="394"/>
    </row>
    <row r="106" spans="5:10">
      <c r="E106" s="394"/>
      <c r="F106" s="397" t="s">
        <v>271</v>
      </c>
      <c r="G106" s="182" t="s">
        <v>274</v>
      </c>
    </row>
    <row r="107" spans="5:10">
      <c r="E107" s="394"/>
      <c r="F107" s="398"/>
      <c r="G107" s="182" t="s">
        <v>273</v>
      </c>
    </row>
    <row r="108" spans="5:10">
      <c r="E108" s="394"/>
      <c r="F108" s="398"/>
      <c r="G108" s="182" t="s">
        <v>272</v>
      </c>
    </row>
    <row r="109" spans="5:10">
      <c r="E109" s="394"/>
      <c r="F109" s="398"/>
      <c r="G109" s="182" t="s">
        <v>275</v>
      </c>
    </row>
    <row r="110" spans="5:10">
      <c r="E110" s="394"/>
      <c r="F110" s="398"/>
      <c r="G110" s="182" t="s">
        <v>214</v>
      </c>
    </row>
    <row r="111" spans="5:10">
      <c r="E111" s="394"/>
    </row>
    <row r="112" spans="5:10">
      <c r="E112" s="394"/>
      <c r="F112" s="204" t="s">
        <v>267</v>
      </c>
      <c r="G112" s="182" t="s">
        <v>268</v>
      </c>
    </row>
    <row r="113" spans="5:7">
      <c r="E113" s="394"/>
    </row>
    <row r="114" spans="5:7">
      <c r="E114" s="394"/>
      <c r="F114" s="397" t="s">
        <v>271</v>
      </c>
      <c r="G114" s="182" t="s">
        <v>274</v>
      </c>
    </row>
    <row r="115" spans="5:7">
      <c r="E115" s="394"/>
      <c r="F115" s="398"/>
      <c r="G115" s="182" t="s">
        <v>273</v>
      </c>
    </row>
    <row r="116" spans="5:7">
      <c r="E116" s="394"/>
      <c r="F116" s="398"/>
      <c r="G116" s="182" t="s">
        <v>272</v>
      </c>
    </row>
    <row r="117" spans="5:7">
      <c r="E117" s="394"/>
      <c r="F117" s="398"/>
      <c r="G117" s="182" t="s">
        <v>275</v>
      </c>
    </row>
    <row r="118" spans="5:7">
      <c r="E118" s="394"/>
      <c r="F118" s="398"/>
      <c r="G118" s="182" t="s">
        <v>214</v>
      </c>
    </row>
    <row r="119" spans="5:7">
      <c r="E119" s="394"/>
    </row>
    <row r="120" spans="5:7">
      <c r="E120" s="394"/>
      <c r="F120" s="204" t="s">
        <v>277</v>
      </c>
      <c r="G120" s="182" t="s">
        <v>115</v>
      </c>
    </row>
    <row r="121" spans="5:7">
      <c r="E121" s="394"/>
    </row>
    <row r="122" spans="5:7">
      <c r="E122" s="394"/>
      <c r="F122" s="204" t="s">
        <v>276</v>
      </c>
      <c r="G122" s="182" t="s">
        <v>618</v>
      </c>
    </row>
    <row r="123" spans="5:7">
      <c r="E123" s="394"/>
    </row>
    <row r="124" spans="5:7">
      <c r="E124" s="394"/>
      <c r="F124" s="204" t="s">
        <v>278</v>
      </c>
      <c r="G124" s="182" t="str">
        <f>IF(B15="PRINCIPAL","CALL BASEDOS/BACO0500","CALL BASEDOS/BACO0100")</f>
        <v>CALL BASEDOS/BACO0100</v>
      </c>
    </row>
    <row r="125" spans="5:7">
      <c r="E125" s="394"/>
    </row>
    <row r="126" spans="5:7">
      <c r="E126" s="394"/>
      <c r="F126" s="196" t="s">
        <v>279</v>
      </c>
      <c r="G126" s="182" t="str">
        <f>IF(B15="PRINCIPAL","PE"&amp;MID(B12,3,6),"VE"&amp;MID(B12,3,6))</f>
        <v>VE230428</v>
      </c>
    </row>
    <row r="127" spans="5:7">
      <c r="E127" s="394"/>
    </row>
    <row r="128" spans="5:7">
      <c r="E128" s="394"/>
      <c r="F128" s="397" t="s">
        <v>280</v>
      </c>
      <c r="G128" s="182" t="s">
        <v>275</v>
      </c>
    </row>
    <row r="129" spans="5:7">
      <c r="E129" s="394"/>
      <c r="F129" s="398"/>
      <c r="G129" s="182" t="s">
        <v>214</v>
      </c>
    </row>
    <row r="130" spans="5:7">
      <c r="E130" s="394"/>
    </row>
    <row r="131" spans="5:7">
      <c r="E131" s="394"/>
      <c r="F131" s="196" t="s">
        <v>283</v>
      </c>
      <c r="G131" s="182" t="str">
        <f>IF(B15="PRINCIPAL","CALL BASEDOS/BACU0503","CALL BASEDOS/BACU0203")</f>
        <v>CALL BASEDOS/BACU0203</v>
      </c>
    </row>
    <row r="132" spans="5:7">
      <c r="E132" s="394"/>
      <c r="F132" s="196" t="s">
        <v>284</v>
      </c>
      <c r="G132" s="182" t="str">
        <f>IF(B15="PRINCIPAL","CALL BASEDOS/BACU0504","CALL BASEDOS/BACU0204")</f>
        <v>CALL BASEDOS/BACU0204</v>
      </c>
    </row>
    <row r="133" spans="5:7">
      <c r="E133" s="394"/>
    </row>
    <row r="134" spans="5:7">
      <c r="E134" s="394"/>
      <c r="F134" s="196" t="s">
        <v>282</v>
      </c>
      <c r="G134" s="182" t="s">
        <v>214</v>
      </c>
    </row>
    <row r="135" spans="5:7">
      <c r="E135" s="394"/>
      <c r="F135" s="196" t="s">
        <v>282</v>
      </c>
      <c r="G135" s="182" t="s">
        <v>214</v>
      </c>
    </row>
    <row r="137" spans="5:7">
      <c r="E137" s="394" t="s">
        <v>306</v>
      </c>
      <c r="F137" s="225" t="s">
        <v>285</v>
      </c>
      <c r="G137" s="182" t="s">
        <v>286</v>
      </c>
    </row>
    <row r="138" spans="5:7">
      <c r="E138" s="394"/>
    </row>
    <row r="139" spans="5:7">
      <c r="E139" s="394"/>
      <c r="F139" s="406" t="s">
        <v>287</v>
      </c>
      <c r="G139" s="182" t="s">
        <v>288</v>
      </c>
    </row>
    <row r="140" spans="5:7">
      <c r="E140" s="394"/>
      <c r="F140" s="406"/>
      <c r="G140" s="182" t="s">
        <v>289</v>
      </c>
    </row>
    <row r="141" spans="5:7">
      <c r="E141" s="394"/>
      <c r="F141" s="406"/>
    </row>
    <row r="142" spans="5:7">
      <c r="E142" s="394"/>
      <c r="F142" s="406"/>
      <c r="G142" s="182" t="s">
        <v>290</v>
      </c>
    </row>
    <row r="143" spans="5:7">
      <c r="E143" s="394"/>
      <c r="F143" s="406"/>
    </row>
    <row r="144" spans="5:7">
      <c r="E144" s="394"/>
      <c r="F144" s="406"/>
      <c r="G144" s="182" t="s">
        <v>286</v>
      </c>
    </row>
    <row r="145" spans="5:7">
      <c r="E145" s="394"/>
      <c r="F145" s="406"/>
      <c r="G145" s="182" t="s">
        <v>291</v>
      </c>
    </row>
    <row r="146" spans="5:7">
      <c r="E146" s="394"/>
      <c r="F146" s="406"/>
      <c r="G146" s="182" t="s">
        <v>292</v>
      </c>
    </row>
    <row r="147" spans="5:7">
      <c r="E147" s="394"/>
      <c r="F147" s="406"/>
      <c r="G147" s="182" t="s">
        <v>293</v>
      </c>
    </row>
    <row r="148" spans="5:7">
      <c r="E148" s="394"/>
      <c r="F148" s="406"/>
      <c r="G148" s="182" t="s">
        <v>294</v>
      </c>
    </row>
    <row r="149" spans="5:7">
      <c r="E149" s="394"/>
      <c r="F149" s="406"/>
      <c r="G149" s="182" t="s">
        <v>295</v>
      </c>
    </row>
    <row r="150" spans="5:7">
      <c r="E150" s="394"/>
      <c r="F150" s="406"/>
      <c r="G150" s="182" t="s">
        <v>296</v>
      </c>
    </row>
    <row r="151" spans="5:7">
      <c r="E151" s="394"/>
      <c r="F151" s="406"/>
      <c r="G151" s="182" t="s">
        <v>297</v>
      </c>
    </row>
    <row r="152" spans="5:7">
      <c r="E152" s="394"/>
      <c r="F152" s="406"/>
      <c r="G152" s="182" t="s">
        <v>298</v>
      </c>
    </row>
    <row r="153" spans="5:7">
      <c r="E153" s="394"/>
      <c r="F153" s="406"/>
      <c r="G153" s="182" t="s">
        <v>299</v>
      </c>
    </row>
    <row r="154" spans="5:7">
      <c r="E154" s="394"/>
    </row>
    <row r="155" spans="5:7">
      <c r="E155" s="394"/>
      <c r="F155" s="406" t="s">
        <v>300</v>
      </c>
      <c r="G155" s="182" t="s">
        <v>288</v>
      </c>
    </row>
    <row r="156" spans="5:7">
      <c r="E156" s="394"/>
      <c r="F156" s="406"/>
      <c r="G156" s="182" t="s">
        <v>301</v>
      </c>
    </row>
    <row r="157" spans="5:7">
      <c r="E157" s="394"/>
      <c r="F157" s="406"/>
      <c r="G157" s="182" t="s">
        <v>302</v>
      </c>
    </row>
    <row r="158" spans="5:7">
      <c r="E158" s="394"/>
      <c r="F158" s="406"/>
      <c r="G158" s="182" t="s">
        <v>303</v>
      </c>
    </row>
    <row r="159" spans="5:7">
      <c r="E159" s="394"/>
      <c r="F159" s="406"/>
      <c r="G159" s="182" t="s">
        <v>304</v>
      </c>
    </row>
    <row r="160" spans="5:7">
      <c r="E160" s="394"/>
      <c r="F160" s="406"/>
    </row>
    <row r="161" spans="5:7">
      <c r="E161" s="394"/>
      <c r="F161" s="406"/>
      <c r="G161" s="182" t="s">
        <v>305</v>
      </c>
    </row>
  </sheetData>
  <mergeCells count="26">
    <mergeCell ref="G9:G19"/>
    <mergeCell ref="F21:F24"/>
    <mergeCell ref="H32:H35"/>
    <mergeCell ref="F32:F35"/>
    <mergeCell ref="E5:E58"/>
    <mergeCell ref="F9:F19"/>
    <mergeCell ref="F37:F43"/>
    <mergeCell ref="G32:G35"/>
    <mergeCell ref="F48:F50"/>
    <mergeCell ref="E137:E161"/>
    <mergeCell ref="F103:F104"/>
    <mergeCell ref="F114:F118"/>
    <mergeCell ref="F106:F110"/>
    <mergeCell ref="F67:F69"/>
    <mergeCell ref="F76:F78"/>
    <mergeCell ref="F84:F85"/>
    <mergeCell ref="F93:F94"/>
    <mergeCell ref="E62:E135"/>
    <mergeCell ref="F128:F129"/>
    <mergeCell ref="F139:F153"/>
    <mergeCell ref="F155:F161"/>
    <mergeCell ref="I48:I50"/>
    <mergeCell ref="J32:K32"/>
    <mergeCell ref="H48:H50"/>
    <mergeCell ref="H62:H71"/>
    <mergeCell ref="H73:H82"/>
  </mergeCells>
  <dataValidations count="1">
    <dataValidation type="list" allowBlank="1" showInputMessage="1" showErrorMessage="1" sqref="B2" xr:uid="{F12650D6-D402-411B-8125-1F36A7E14FEA}">
      <formula1>NOMBRE_BANCO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Check Box 1">
              <controlPr defaultSize="0" autoFill="0" autoLine="0" autoPict="0">
                <anchor moveWithCells="1">
                  <from>
                    <xdr:col>10</xdr:col>
                    <xdr:colOff>57150</xdr:colOff>
                    <xdr:row>32</xdr:row>
                    <xdr:rowOff>12700</xdr:rowOff>
                  </from>
                  <to>
                    <xdr:col>10</xdr:col>
                    <xdr:colOff>298450</xdr:colOff>
                    <xdr:row>33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Check Box 2">
              <controlPr defaultSize="0" autoFill="0" autoLine="0" autoPict="0">
                <anchor moveWithCells="1">
                  <from>
                    <xdr:col>10</xdr:col>
                    <xdr:colOff>69850</xdr:colOff>
                    <xdr:row>33</xdr:row>
                    <xdr:rowOff>0</xdr:rowOff>
                  </from>
                  <to>
                    <xdr:col>10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6" name="Check Box 3">
              <controlPr defaultSize="0" autoFill="0" autoLine="0" autoPict="0">
                <anchor moveWithCells="1">
                  <from>
                    <xdr:col>10</xdr:col>
                    <xdr:colOff>69850</xdr:colOff>
                    <xdr:row>34</xdr:row>
                    <xdr:rowOff>0</xdr:rowOff>
                  </from>
                  <to>
                    <xdr:col>10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7" name="Check Box 5">
              <controlPr defaultSize="0" autoFill="0" autoLine="0" autoPict="0">
                <anchor moveWithCells="1">
                  <from>
                    <xdr:col>1</xdr:col>
                    <xdr:colOff>355600</xdr:colOff>
                    <xdr:row>15</xdr:row>
                    <xdr:rowOff>184150</xdr:rowOff>
                  </from>
                  <to>
                    <xdr:col>2</xdr:col>
                    <xdr:colOff>76200</xdr:colOff>
                    <xdr:row>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8" name="Check Box 6">
              <controlPr defaultSize="0" autoFill="0" autoLine="0" autoPict="0">
                <anchor moveWithCells="1">
                  <from>
                    <xdr:col>1</xdr:col>
                    <xdr:colOff>355600</xdr:colOff>
                    <xdr:row>16</xdr:row>
                    <xdr:rowOff>190500</xdr:rowOff>
                  </from>
                  <to>
                    <xdr:col>2</xdr:col>
                    <xdr:colOff>76200</xdr:colOff>
                    <xdr:row>18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8C3A9F9-5BAF-4702-BFED-F12039B2FD50}">
          <x14:formula1>
            <xm:f>'Bancos y listas'!$E$2:$E$3</xm:f>
          </x14:formula1>
          <xm:sqref>B15</xm:sqref>
        </x14:dataValidation>
        <x14:dataValidation type="list" allowBlank="1" showInputMessage="1" showErrorMessage="1" xr:uid="{2C0426C6-A107-47B0-B9CF-6E0A1AD4ED29}">
          <x14:formula1>
            <xm:f>'Bancos y listas'!$K$2:$K$4</xm:f>
          </x14:formula1>
          <xm:sqref>B19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9A376-931C-40A4-9AB8-3D09206044EC}">
  <sheetPr codeName="Hoja22">
    <tabColor theme="8" tint="0.39997558519241921"/>
  </sheetPr>
  <dimension ref="A1:I101"/>
  <sheetViews>
    <sheetView topLeftCell="G1" workbookViewId="0">
      <selection activeCell="H13" sqref="H13"/>
    </sheetView>
  </sheetViews>
  <sheetFormatPr baseColWidth="10" defaultRowHeight="15.5"/>
  <cols>
    <col min="1" max="1" width="24.1796875" bestFit="1" customWidth="1"/>
    <col min="2" max="2" width="30.54296875" bestFit="1" customWidth="1"/>
    <col min="3" max="4" width="15.7265625" customWidth="1"/>
    <col min="5" max="5" width="37.54296875" style="37" bestFit="1" customWidth="1"/>
    <col min="6" max="6" width="89.1796875" style="15" customWidth="1"/>
    <col min="7" max="7" width="19.54296875" customWidth="1"/>
    <col min="8" max="8" width="30.26953125" customWidth="1"/>
    <col min="9" max="9" width="5.81640625" customWidth="1"/>
  </cols>
  <sheetData>
    <row r="1" spans="1:6">
      <c r="A1" s="4" t="s">
        <v>136</v>
      </c>
      <c r="B1" s="4" t="s">
        <v>135</v>
      </c>
      <c r="C1" s="4" t="s">
        <v>134</v>
      </c>
      <c r="D1" s="2"/>
    </row>
    <row r="2" spans="1:6" ht="14.5">
      <c r="A2" s="4" t="s">
        <v>103</v>
      </c>
      <c r="B2" s="5" t="s">
        <v>10</v>
      </c>
      <c r="C2" s="5"/>
      <c r="D2" s="3"/>
      <c r="E2"/>
    </row>
    <row r="3" spans="1:6">
      <c r="A3" s="4" t="s">
        <v>104</v>
      </c>
      <c r="B3" s="6">
        <f>VLOOKUP(B2,'Bancos y listas'!B:C,2,FALSE)</f>
        <v>7</v>
      </c>
      <c r="C3" s="5"/>
      <c r="D3" s="3"/>
    </row>
    <row r="4" spans="1:6">
      <c r="A4" s="4" t="s">
        <v>104</v>
      </c>
      <c r="B4" s="6" t="str">
        <f>REPT("0",2-LEN(B3))&amp;VLOOKUP(B2,'Bancos y listas'!B:C,2,FALSE)</f>
        <v>07</v>
      </c>
      <c r="C4" s="5"/>
      <c r="D4" s="3"/>
    </row>
    <row r="5" spans="1:6" ht="15" customHeight="1">
      <c r="A5" s="4" t="s">
        <v>108</v>
      </c>
      <c r="B5" s="7">
        <v>20221215</v>
      </c>
      <c r="C5" s="5" t="s">
        <v>126</v>
      </c>
      <c r="D5" s="3"/>
      <c r="E5" s="226" t="s">
        <v>139</v>
      </c>
      <c r="F5" s="176" t="str">
        <f>"CALL PGM(ELECTRON/CEC1835) PARM('B' '00"&amp;B4&amp;"')"</f>
        <v>CALL PGM(ELECTRON/CEC1835) PARM('B' '0007')</v>
      </c>
    </row>
    <row r="6" spans="1:6">
      <c r="A6" s="8" t="s">
        <v>118</v>
      </c>
      <c r="B6" s="6">
        <v>377844</v>
      </c>
      <c r="C6" s="5"/>
      <c r="D6" s="3"/>
    </row>
    <row r="7" spans="1:6">
      <c r="A7" s="8" t="s">
        <v>117</v>
      </c>
      <c r="B7" s="6"/>
      <c r="C7" s="5"/>
      <c r="D7" s="3"/>
      <c r="E7" s="89" t="s">
        <v>138</v>
      </c>
      <c r="F7" s="28" t="s">
        <v>109</v>
      </c>
    </row>
    <row r="8" spans="1:6">
      <c r="A8" s="8" t="s">
        <v>119</v>
      </c>
      <c r="B8" s="6"/>
      <c r="C8" s="5"/>
      <c r="D8" s="3"/>
    </row>
    <row r="9" spans="1:6" ht="15" customHeight="1">
      <c r="A9" s="8" t="s">
        <v>120</v>
      </c>
      <c r="B9" s="6"/>
      <c r="C9" s="5"/>
      <c r="D9" s="3"/>
      <c r="E9" s="411" t="s">
        <v>139</v>
      </c>
      <c r="F9" s="407" t="str">
        <f>"CALL PGM(ELECTRON/CEC1835) PARM('C' '00"&amp;B4&amp;"')"</f>
        <v>CALL PGM(ELECTRON/CEC1835) PARM('C' '0007')</v>
      </c>
    </row>
    <row r="10" spans="1:6" ht="15" customHeight="1">
      <c r="A10" s="8" t="s">
        <v>121</v>
      </c>
      <c r="B10" s="6"/>
      <c r="C10" s="5"/>
      <c r="E10" s="411"/>
      <c r="F10" s="407"/>
    </row>
    <row r="11" spans="1:6" ht="15" customHeight="1">
      <c r="A11" s="8" t="s">
        <v>122</v>
      </c>
      <c r="B11" s="5" t="str">
        <f>IF(B7="","'"&amp;B6&amp;"'",IF(B8="","'"&amp;B6&amp;"',"&amp;"'"&amp;B7&amp;"'",IF(B9="","'"&amp;B6&amp;"',"&amp;"'"&amp;B7&amp;"',"&amp;"'"&amp;B8&amp;"'",IF(B10="","'"&amp;B6&amp;"',"&amp;"'"&amp;B7&amp;"',"&amp;"'"&amp;B8&amp;"',"&amp;"'"&amp;B9&amp;"'",IF(B10&lt;&gt;"","'"&amp;B6&amp;"',"&amp;"'"&amp;B7&amp;"',"&amp;"'"&amp;B8&amp;"',"&amp;"'"&amp;B9&amp;"',"&amp;"'"&amp;B10&amp;"'",)))))</f>
        <v>'377844'</v>
      </c>
      <c r="C11" s="5"/>
      <c r="E11" s="411"/>
      <c r="F11" s="407"/>
    </row>
    <row r="12" spans="1:6" ht="15" customHeight="1">
      <c r="A12" s="4" t="s">
        <v>129</v>
      </c>
      <c r="B12" s="36" t="b">
        <v>1</v>
      </c>
      <c r="C12" s="17"/>
      <c r="E12" s="411"/>
      <c r="F12" s="407"/>
    </row>
    <row r="13" spans="1:6" ht="15" customHeight="1">
      <c r="A13" s="4" t="s">
        <v>130</v>
      </c>
      <c r="B13" s="36" t="b">
        <v>1</v>
      </c>
      <c r="C13" s="17"/>
      <c r="E13" s="411"/>
      <c r="F13" s="407"/>
    </row>
    <row r="14" spans="1:6" ht="15" customHeight="1">
      <c r="A14" s="4" t="s">
        <v>131</v>
      </c>
      <c r="B14" s="36" t="b">
        <v>1</v>
      </c>
      <c r="C14" s="17"/>
      <c r="E14" s="411"/>
      <c r="F14" s="407"/>
    </row>
    <row r="15" spans="1:6" ht="15" customHeight="1">
      <c r="A15" s="4" t="s">
        <v>24</v>
      </c>
      <c r="B15" s="5">
        <v>395</v>
      </c>
      <c r="C15" s="5" t="s">
        <v>401</v>
      </c>
      <c r="E15" s="411"/>
      <c r="F15" s="407"/>
    </row>
    <row r="16" spans="1:6" ht="15" customHeight="1">
      <c r="A16" s="4" t="s">
        <v>10</v>
      </c>
      <c r="B16" s="5">
        <v>159</v>
      </c>
      <c r="C16" s="5" t="s">
        <v>401</v>
      </c>
      <c r="E16" s="411"/>
      <c r="F16" s="407"/>
    </row>
    <row r="17" spans="1:9" ht="15" customHeight="1">
      <c r="A17" s="186" t="s">
        <v>508</v>
      </c>
      <c r="B17" s="187" t="s">
        <v>63</v>
      </c>
      <c r="C17" s="188"/>
      <c r="E17" s="411"/>
      <c r="F17" s="407"/>
    </row>
    <row r="18" spans="1:9" ht="15" customHeight="1">
      <c r="E18" s="411"/>
      <c r="F18" s="407"/>
    </row>
    <row r="19" spans="1:9" ht="15" customHeight="1">
      <c r="E19" s="411"/>
      <c r="F19" s="407"/>
    </row>
    <row r="21" spans="1:9" ht="14.5">
      <c r="E21" s="408" t="s">
        <v>140</v>
      </c>
      <c r="F21" s="189" t="s">
        <v>620</v>
      </c>
      <c r="G21" s="190" t="s">
        <v>146</v>
      </c>
    </row>
    <row r="22" spans="1:9" ht="15" customHeight="1">
      <c r="E22" s="409"/>
      <c r="F22" s="189" t="s">
        <v>621</v>
      </c>
      <c r="G22" s="191" t="s">
        <v>148</v>
      </c>
      <c r="H22" s="41"/>
    </row>
    <row r="23" spans="1:9" ht="15" customHeight="1">
      <c r="E23" s="409"/>
      <c r="F23" s="189" t="s">
        <v>622</v>
      </c>
      <c r="G23" s="193" t="s">
        <v>147</v>
      </c>
      <c r="H23" s="42"/>
    </row>
    <row r="24" spans="1:9" ht="15" customHeight="1">
      <c r="E24" s="409"/>
      <c r="F24" s="189" t="s">
        <v>623</v>
      </c>
      <c r="G24" s="194" t="s">
        <v>556</v>
      </c>
      <c r="H24" s="43"/>
    </row>
    <row r="26" spans="1:9">
      <c r="E26" s="38" t="s">
        <v>116</v>
      </c>
      <c r="F26" s="28" t="s">
        <v>116</v>
      </c>
    </row>
    <row r="28" spans="1:9" ht="60" customHeight="1">
      <c r="E28" s="39" t="s">
        <v>563</v>
      </c>
      <c r="F28" s="176" t="str">
        <f>IF(B17="EASV",IF(AND(I30=TRUE,I31=TRUE,I32=TRUE),"SELECT DFHTRA, DCDMSG, DCDTYP, DCCADQ, DCCEMI,substr(DCDTAR, 1, 6)||'********'||substr(DCDTAR, 15, 2) AS TARJPRO, DMONT1,DCPAIS,     
DCDRES, DCDAUT FROM BODEGATMP/FTLF_YS where DCCEMI like '%"&amp;B4&amp;"%' AND substr(DCDTAR, 1, 6)in ("&amp;B11&amp;") and DCDAUT&lt;&gt;''  ORDER BY DCDAUT",IF(AND(I30=TRUE,I31=TRUE),"SELECT DFHTRA, DCDMSG, DCDTYP, DCCADQ, DCCEMI,substr(DCDTAR, 1, 6)||'********'||substr(DCDTAR, 15, 2) AS TARJPRO, DMONT1,DCPAIS,     
DCDRES, DCDAUT FROM BODEGATMP/FTLF_YS where  substr(DCDTAR, 1, 6)in ("&amp;B11&amp;") and DCDAUT&lt;&gt;''  ORDER BY DCDAUT",IF(AND(I31=TRUE,I32=TRUE),"SELECT DFHTRA, DCDMSG, DCDTYP, DCCADQ, DCCEMI,substr(DCDTAR, 1, 6)||'********'||substr(DCDTAR, 15, 2) AS TARJPRO, DMONT1,DCPAIS,     
DCDRES, DCDAUT FROM BODEGATMP/FTLF_YS where DCCEMI like '%"&amp;B4&amp;"%' AND substr(DCDTAR, 1, 6)in ("&amp;B11&amp;") ORDER BY DCDAUT",IF(AND(I30=TRUE,I32=TRUE),"SELECT DFHTRA, DCDMSG, DCDTYP, DCCADQ, DCCEMI,substr(DCDTAR, 1, 6)||'********'||substr(DCDTAR, 15, 2) AS TARJPRO, DMONT1,DCPAIS,     
DCDRES, DCDAUT FROM BODEGATMP/FTLF_YS where DCCEMI like '%"&amp;B4&amp;"%' and DCDAUT&lt;&gt;''  ORDER BY DCDAUT",IF(I30=TRUE,"SELECT DFHTRA, DCDMSG, DCDTYP, DCCADQ, DCCEMI,substr(DCDTAR, 1, 6)||'********'||substr(DCDTAR, 15, 2) AS TARJPRO, DMONT1,DCPAIS,     
DCDRES, DCDAUT FROM BODEGATMP/FTLF_YS where DCDAUT&lt;&gt;''  ORDER BY DCDAUT",IF(I31=TRUE,"SELECT DFHTRA, DCDMSG, DCDTYP, DCCADQ, DCCEMI,substr(DCDTAR, 1, 6)||'********'||substr(DCDTAR, 15, 2) AS TARJPRO, DMONT1,DCPAIS,     
DCDRES, DCDAUT FROM BODEGATMP/FTLF_YS where  substr(DCDTAR, 1, 6)in ("&amp;B11&amp;") ORDER BY DCDAUT",IF(I32=TRUE,"SELECT DFHTRA, DCDMSG, DCDTYP, DCCADQ, DCCEMI,substr(DCDTAR, 1, 6)||'********'||substr(DCDTAR, 15, 2) AS TARJPRO, DMONT1,DCPAIS,     
DCDRES, DCDAUT FROM BODEGATMP/FTLF_YS where DCCEMI like '%"&amp;B4&amp;"%' ORDER BY DCDAUT","SELECT DFHTRA, DCDMSG, DCDTYP, DCCADQ, DCCEMI,substr(DCDTAR, 1, 6)||'********'||substr(DCDTAR, 15, 2) AS TARJPRO, DMONT1,DCPAIS,     
DCDRES, DCDAUT FROM BODEGATMP/FTLF_YS  ORDER BY DCDAUT"))))))),IF(B17="REDEBAN",IF(AND(I30=TRUE,I31=TRUE,I32=TRUE),"SELECT DFHTRA, DCDMSG, DCDTYP, DCCADQ, DCCEMI,substr(DCDTAR, 1, 6)||'********'||substr(DCDTAR, 15, 2) AS TARJPRO, DMONT1,DCPAIS,     
DCDRES, DCDAUT FROM BODEGATMP/FTLF_NS where DCCEMI like '%"&amp;B4&amp;"%' AND substr(DCDTAR, 1, 6)in ("&amp;B11&amp;") and DCDAUT&lt;&gt;''  ORDER BY DCDAUT",IF(AND(I30=TRUE,I31=TRUE),"SELECT DFHTRA, DCDMSG, DCDTYP, DCCADQ, DCCEMI,substr(DCDTAR, 1, 6)||'********'||substr(DCDTAR, 15, 2) AS TARJPRO, DMONT1,DCPAIS,     
DCDRES, DCDAUT FROM BODEGATMP/FTLF_NS where  substr(DCDTAR, 1, 6)in ("&amp;B11&amp;") and DCDAUT&lt;&gt;''  ORDER BY DCDAUT",IF(AND(I31=TRUE,I32=TRUE),"SELECT DFHTRA, DCDMSG, DCDTYP, DCCADQ, DCCEMI,substr(DCDTAR, 1, 6)||'********'||substr(DCDTAR, 15, 2) AS TARJPRO, DMONT1,DCPAIS,     
DCDRES, DCDAUT FROM BODEGATMP/FTLF_NS where DCCEMI like '%"&amp;B4&amp;"%' AND substr(DCDTAR, 1, 6)in ("&amp;B11&amp;") ORDER BY DCDAUT",IF(AND(I30=TRUE,I32=TRUE),"SELECT DFHTRA, DCDMSG, DCDTYP, DCCADQ, DCCEMI,substr(DCDTAR, 1, 6)||'********'||substr(DCDTAR, 15, 2) AS TARJPRO, DMONT1,DCPAIS,     
DCDRES, DCDAUT FROM BODEGATMP/FTLF_NS where DCCEMI like '%"&amp;B4&amp;"%' and DCDAUT&lt;&gt;''  ORDER BY DCDAUT",IF(I30=TRUE,"SELECT DFHTRA, DCDMSG, DCDTYP, DCCADQ, DCCEMI,substr(DCDTAR, 1, 6)||'********'||substr(DCDTAR, 15, 2) AS TARJPRO, DMONT1,DCPAIS,     
DCDRES, DCDAUT FROM BODEGATMP/FTLF_NS where DCDAUT&lt;&gt;''  ORDER BY DCDAUT",IF(I31=TRUE,"SELECT DFHTRA, DCDMSG, DCDTYP, DCCADQ, DCCEMI,substr(DCDTAR, 1, 6)||'********'||substr(DCDTAR, 15, 2) AS TARJPRO, DMONT1,DCPAIS,     
DCDRES, DCDAUT FROM BODEGATMP/FTLF_NS where  substr(DCDTAR, 1, 6)in ("&amp;B11&amp;") ORDER BY DCDAUT",IF(I32=TRUE,"SELECT DFHTRA, DCDMSG, DCDTYP, DCCADQ, DCCEMI,substr(DCDTAR, 1, 6)||'********'||substr(DCDTAR, 15, 2) AS TARJPRO, DMONT1,DCPAIS,     
DCDRES, DCDAUT FROM BODEGATMP/FTLF_NS where DCCEMI like '%"&amp;B4&amp;"%' ORDER BY DCDAUT","SELECT DFHTRA, DCDMSG, DCDTYP, DCCADQ, DCCEMI,substr(DCDTAR, 1, 6)||'********'||substr(DCDTAR, 15, 2) AS TARJPRO, DMONT1,DCPAIS,     
DCDRES, DCDAUT FROM BODEGATMP/FTLF_NS  ORDER BY DCDAUT"))))))),""))</f>
        <v>SELECT DFHTRA, DCDMSG, DCDTYP, DCCADQ, DCCEMI,substr(DCDTAR, 1, 6)||'********'||substr(DCDTAR, 15, 2) AS TARJPRO, DMONT1,DCPAIS,     
DCDRES, DCDAUT FROM BODEGATMP/FTLF_NS where DCCEMI like '%07%' AND substr(DCDTAR, 1, 6)in ('377844') and DCDAUT&lt;&gt;''  ORDER BY DCDAUT</v>
      </c>
      <c r="G28" s="197" t="str">
        <f>B17</f>
        <v>REDEBAN</v>
      </c>
    </row>
    <row r="29" spans="1:9" ht="15" customHeight="1">
      <c r="E29" s="60"/>
      <c r="F29" s="177"/>
      <c r="G29" s="177"/>
      <c r="H29" s="412" t="s">
        <v>315</v>
      </c>
      <c r="I29" s="412"/>
    </row>
    <row r="30" spans="1:9" ht="15" customHeight="1">
      <c r="E30" s="356" t="s">
        <v>561</v>
      </c>
      <c r="F30" s="407" t="str">
        <f>IF(AND(J31=TRUE,J32=TRUE,J33=TRUE),"select DFHTRA, DCDMSG, DFIDID, DTPTRA, DCDEST, DTERMI, DCDRES,DREFER, DCAPFL, DCDTAR,substr(DCDTAR, 1, 6), DMONT1,DCPAIS from BODEGATMP/FPTLFYS where DFIDID like '%"&amp;A2&amp;"%' AND substr(DCDTAR, 1, 6)in ("&amp;A9&amp;") and DREFER&lt;&gt;''  ORDER BY DREFER,DCAPFL",IF(AND(J31=TRUE,J32=TRUE),"select DFHTRA, DCDMSG, DFIDID, DTPTRA, DCDEST, DTERMI, DCDRES,DREFER, DCAPFL, DCDTAR,substr(DCDTAR, 1, 6), DMONT1,DCPAIS from BODEGATMP/FPTLFYS where substr(DCDTAR, 1, 6)in ("&amp;A9&amp;") and DREFER&lt;&gt;''  ORDER BY DREFER,DCAPFL",IF(AND(J32=TRUE,J33=TRUE),"select DFHTRA, DCDMSG, DFIDID, DTPTRA, DCDEST, DTERMI, DCDRES,DREFER, DCAPFL, DCDTAR,substr(DCDTAR, 1, 6), DMONT1,DCPAIS from BODEGATMP/FPTLFYS where DFIDID like '%"&amp;A2&amp;"%' AND substr(DCDTAR, 1, 6)in ("&amp;A9&amp;") ORDER BY DREFER,DCAPFL",IF(AND(J31=TRUE,J33=TRUE),"select DFHTRA, DCDMSG, DFIDID, DTPTRA, DCDEST, DTERMI, DCDRES,DREFER, DCAPFL, DCDTAR,substr(DCDTAR, 1, 6), DMONT1,DCPAIS from BODEGATMP/FPTLFYS where DFIDID like '%"&amp;A2&amp;"%' and DREFER&lt;&gt;''  ORDER BY DREFER,DCAPFL",IF(J31=TRUE,"select DFHTRA, DCDMSG, DFIDID, DTPTRA, DCDEST, DTERMI, DCDRES,DREFER, DCAPFL, DCDTAR,substr(DCDTAR, 1, 6), DMONT1,DCPAIS from BODEGATMP/FPTLFYS where  DREFER&lt;&gt;''  ORDER BY DREFER,DCAPFL",IF(J32=TRUE,"select DFHTRA, DCDMSG, DFIDID, DTPTRA, DCDEST, DTERMI, DCDRES,DREFER, DCAPFL, DCDTAR,substr(DCDTAR, 1, 6), DMONT1,DCPAIS from BODEGATMP/FPTLFYS where  substr(DCDTAR, 1, 6)in ("&amp;A9&amp;")   ORDER BY DREFER,DCAPFL",IF(J33=TRUE,"select DFHTRA, DCDMSG, DFIDID, DTPTRA, DCDEST, DTERMI, DCDRES,DREFER, DCAPFL, DCDTAR,substr(DCDTAR, 1, 6), DMONT1,DCPAIS from BODEGATMP/FPTLFYS where DFIDID like '%"&amp;A2&amp;"%'  ORDER BY DREFER,DCAPFL","select DFHTRA, DCDMSG, DFIDID, DTPTRA, DCDEST, DTERMI, DCDRES,DREFER, DCAPFL, DCDTAR,substr(DCDTAR, 1, 6), DMONT1,DCPAIS from BODEGATMP/FPTLFYS ORDER BY DREFER,DCAPFL")))))))</f>
        <v>select DFHTRA, DCDMSG, DFIDID, DTPTRA, DCDEST, DTERMI, DCDRES,DREFER, DCAPFL, DCDTAR,substr(DCDTAR, 1, 6), DMONT1,DCPAIS from BODEGATMP/FPTLFYS ORDER BY DREFER,DCAPFL</v>
      </c>
      <c r="G30" s="410" t="s">
        <v>146</v>
      </c>
      <c r="H30" s="9" t="s">
        <v>314</v>
      </c>
      <c r="I30" s="44" t="b">
        <v>1</v>
      </c>
    </row>
    <row r="31" spans="1:9" ht="15" customHeight="1">
      <c r="E31" s="351"/>
      <c r="F31" s="407"/>
      <c r="G31" s="410"/>
      <c r="H31" s="9" t="s">
        <v>312</v>
      </c>
      <c r="I31" s="44" t="b">
        <v>1</v>
      </c>
    </row>
    <row r="32" spans="1:9" ht="15" customHeight="1">
      <c r="E32" s="351"/>
      <c r="F32" s="407"/>
      <c r="G32" s="410"/>
      <c r="H32" s="9" t="s">
        <v>313</v>
      </c>
      <c r="I32" s="44" t="b">
        <v>1</v>
      </c>
    </row>
    <row r="33" spans="3:9" ht="21.75" customHeight="1">
      <c r="E33" s="351"/>
      <c r="F33" s="407"/>
      <c r="G33" s="410"/>
      <c r="I33" s="40"/>
    </row>
    <row r="35" spans="3:9" ht="15" customHeight="1">
      <c r="E35" s="377" t="s">
        <v>142</v>
      </c>
      <c r="F35" s="17" t="str">
        <f>"SELECT * FROM SISTEMAS.PLF0100A WHERE MBANCO = "&amp;A2&amp;" AND MBINCO IN ("&amp;A9&amp;")"</f>
        <v>SELECT * FROM SISTEMAS.PLF0100A WHERE MBANCO = ENTIDAD AND MBINCO IN (BIN 4)</v>
      </c>
      <c r="G35" s="118" t="s">
        <v>416</v>
      </c>
    </row>
    <row r="36" spans="3:9" ht="15.75" customHeight="1">
      <c r="E36" s="377"/>
      <c r="F36" s="17" t="str">
        <f>"SELECT * FROM SISTEMAS.SWFTAB08 WHERE RCDCMP = "&amp;A2&amp;" AND RCDBIN IN ("&amp;A9&amp;")"</f>
        <v>SELECT * FROM SISTEMAS.SWFTAB08 WHERE RCDCMP = ENTIDAD AND RCDBIN IN (BIN 4)</v>
      </c>
      <c r="G36" s="118" t="s">
        <v>417</v>
      </c>
    </row>
    <row r="37" spans="3:9" ht="15.75" customHeight="1">
      <c r="E37" s="377"/>
      <c r="F37" s="17" t="str">
        <f>"SELECT * FROM SISTEMAS.REFTAB08 WHERE  RBINCO IN ("&amp;A9&amp;")"</f>
        <v>SELECT * FROM SISTEMAS.REFTAB08 WHERE  RBINCO IN (BIN 4)</v>
      </c>
      <c r="G37" s="118" t="s">
        <v>418</v>
      </c>
    </row>
    <row r="38" spans="3:9" ht="15.75" customHeight="1">
      <c r="E38" s="377"/>
      <c r="F38" s="17" t="str">
        <f>"SELECT * FROM SISTEMAS.SIF0100B WHERE DCDCMP = "&amp;A2&amp;" AND DCDBIN IN ("&amp;A9&amp;")"</f>
        <v>SELECT * FROM SISTEMAS.SIF0100B WHERE DCDCMP = ENTIDAD AND DCDBIN IN (BIN 4)</v>
      </c>
      <c r="G38" s="118" t="s">
        <v>419</v>
      </c>
    </row>
    <row r="39" spans="3:9" ht="15.75" customHeight="1">
      <c r="E39" s="377"/>
      <c r="F39" s="17" t="str">
        <f>"SELECT * FROM BASEDOS.BAFTAB40 WHERE RCDCMP = "&amp;A2&amp;" AND RCDBIN IN ("&amp;A9&amp;")"</f>
        <v>SELECT * FROM BASEDOS.BAFTAB40 WHERE RCDCMP = ENTIDAD AND RCDBIN IN (BIN 4)</v>
      </c>
      <c r="G39" s="118" t="s">
        <v>420</v>
      </c>
    </row>
    <row r="40" spans="3:9" ht="15.75" customHeight="1">
      <c r="E40" s="377"/>
      <c r="F40" s="17" t="str">
        <f>"SELECT * FROM SISTEMAS.REFTAB23 WHERE RCDBIN IN("&amp;A9&amp;")"</f>
        <v>SELECT * FROM SISTEMAS.REFTAB23 WHERE RCDBIN IN(BIN 4)</v>
      </c>
      <c r="G40" s="118" t="s">
        <v>421</v>
      </c>
    </row>
    <row r="41" spans="3:9" ht="15.75" customHeight="1">
      <c r="E41" s="377"/>
      <c r="F41" s="17" t="str">
        <f>"SELECT * FROM BASEDOS/VDF0304E WHERE BINCOD C20IN ("&amp;A9&amp;")"</f>
        <v>SELECT * FROM BASEDOS/VDF0304E WHERE BINCOD C20IN (BIN 4)</v>
      </c>
      <c r="G41" s="118" t="s">
        <v>421</v>
      </c>
    </row>
    <row r="42" spans="3:9" ht="15.75" customHeight="1">
      <c r="E42"/>
      <c r="F42" s="76"/>
    </row>
    <row r="43" spans="3:9" ht="116">
      <c r="E43" s="312" t="s">
        <v>143</v>
      </c>
      <c r="F43" s="76" t="s">
        <v>554</v>
      </c>
      <c r="G43" s="125" t="s">
        <v>557</v>
      </c>
    </row>
    <row r="44" spans="3:9" ht="14.5">
      <c r="E44" s="381"/>
      <c r="F44" s="76" t="s">
        <v>182</v>
      </c>
      <c r="G44" s="118" t="s">
        <v>567</v>
      </c>
    </row>
    <row r="46" spans="3:9" ht="29">
      <c r="E46" s="376" t="s">
        <v>144</v>
      </c>
      <c r="F46" s="76" t="str">
        <f>"SELECT * FROM CANJE/CAFCNTRL  WHERE TANOCA =' "&amp;MID(B5,3,2)&amp;"' AND TMESCA =' "&amp;MID(B5,5,2)&amp;"' AND TDIACA = '"&amp;MID(B5,7,2)+1&amp;"' ORDER BY TFECHA desc"</f>
        <v>SELECT * FROM CANJE/CAFCNTRL  WHERE TANOCA =' 22' AND TMESCA =' 12' AND TDIACA = '16' ORDER BY TFECHA desc</v>
      </c>
      <c r="G46" s="387" t="s">
        <v>145</v>
      </c>
      <c r="H46" s="413"/>
    </row>
    <row r="47" spans="3:9" ht="36.75" customHeight="1">
      <c r="C47" s="15"/>
      <c r="E47" s="376"/>
      <c r="F47" s="28" t="str">
        <f>"UPDATE  BODEGATMP/CAFCNTRLYS  SET TMESCA="&amp;MID(B5,5,2)&amp;", TDIACA='"&amp;MID(B5,7,2)+1&amp;",     
TFECHA="&amp;MID(B5,3,7)+1&amp;""</f>
        <v>UPDATE  BODEGATMP/CAFCNTRLYS  SET TMESCA=12, TDIACA='16,     
TFECHA=221216</v>
      </c>
      <c r="G47" s="387"/>
      <c r="H47" s="413"/>
    </row>
    <row r="48" spans="3:9" ht="37.5" customHeight="1">
      <c r="E48" s="376"/>
      <c r="F48" s="76" t="s">
        <v>125</v>
      </c>
      <c r="G48" s="387"/>
      <c r="H48" s="413"/>
    </row>
    <row r="50" spans="3:8" ht="72.5">
      <c r="E50" s="90" t="s">
        <v>149</v>
      </c>
      <c r="F50" s="76" t="str">
        <f>"CHGJOB DATE("&amp;TEXT(MID(B5,7,2)+1,"dd")&amp;MID(B5,5,2)&amp;MID(B5,3,2)&amp;")"</f>
        <v>CHGJOB DATE(161222)</v>
      </c>
      <c r="G50" s="208" t="s">
        <v>145</v>
      </c>
      <c r="H50" s="10"/>
    </row>
    <row r="52" spans="3:8">
      <c r="E52" s="89" t="s">
        <v>150</v>
      </c>
      <c r="F52" s="120" t="s">
        <v>127</v>
      </c>
    </row>
    <row r="54" spans="3:8">
      <c r="E54" s="89" t="s">
        <v>128</v>
      </c>
      <c r="F54" s="28" t="s">
        <v>128</v>
      </c>
    </row>
    <row r="56" spans="3:8">
      <c r="E56" s="89" t="s">
        <v>151</v>
      </c>
      <c r="F56" s="28" t="str">
        <f>"CALL PGM(ELECTRON/CEC1840) PARM('"&amp;MID(B5,3,2)&amp;MID(B5,5,2)&amp;TEXT(MID(B5,7,2)+1,"dd")&amp;"' 'N' 'N' '0000' '"&amp;REPT(0,4-LEN(B4))&amp;B4&amp;"' '0000' '0000' '"&amp;REPT(0,4-LEN(B4))&amp;B4&amp;"' '0000')"</f>
        <v>CALL PGM(ELECTRON/CEC1840) PARM('221216' 'N' 'N' '0000' '0007' '0000' '0000' '0007' '0000')</v>
      </c>
    </row>
    <row r="58" spans="3:8" ht="58">
      <c r="C58" s="85"/>
      <c r="E58" s="90" t="s">
        <v>605</v>
      </c>
      <c r="F58" s="28" t="str">
        <f>"UPDATE TD"&amp;REPT(0,4-LEN(B4))&amp;B4&amp;"/EXTRACTO                                 
SET EXTRACTO =
 SUBSTR(EXTRACTO, 1, 5)||"&amp;MID(B5,3,2)&amp;MID(B5,5,2)&amp;TEXT(MID(B5,7,2)+1,"dd")&amp;"||SUBSTR(EXTRACTO, 12, 41) 
   WHERE SUBSTR(EXTRACTO, 1, 1)='/'"</f>
        <v>UPDATE TD0007/EXTRACTO                                 
SET EXTRACTO =
 SUBSTR(EXTRACTO, 1, 5)||221216||SUBSTR(EXTRACTO, 12, 41) 
   WHERE SUBSTR(EXTRACTO, 1, 1)='/'</v>
      </c>
      <c r="H58" s="133"/>
    </row>
    <row r="59" spans="3:8" ht="15" customHeight="1">
      <c r="E59"/>
      <c r="H59" s="133"/>
    </row>
    <row r="60" spans="3:8" ht="14.5">
      <c r="E60" s="312" t="s">
        <v>152</v>
      </c>
      <c r="F60" s="28" t="str">
        <f>IF(B12=TRUE,"WRKF FILE(TD"&amp;REPT(0,4-LEN(B4))&amp;B4&amp;"/EXTRACTO)","")</f>
        <v>WRKF FILE(TD0007/EXTRACTO)</v>
      </c>
      <c r="G60" s="11" t="s">
        <v>129</v>
      </c>
    </row>
    <row r="61" spans="3:8" ht="15" customHeight="1">
      <c r="E61" s="312"/>
      <c r="F61" s="28" t="str">
        <f>"WRKF FILE(TD"&amp;REPT(0,4-LEN(B4))&amp;B4&amp;"/CANJEETX)"</f>
        <v>WRKF FILE(TD0007/CANJEETX)</v>
      </c>
      <c r="G61" s="11" t="s">
        <v>130</v>
      </c>
      <c r="H61" s="11"/>
    </row>
    <row r="62" spans="3:8" ht="15" customHeight="1">
      <c r="E62" s="312"/>
      <c r="F62" s="28" t="str">
        <f>"WRKF FILE(TD"&amp;REPT(0,4-LEN(B4))&amp;B4&amp;"/DEPOSTX)"</f>
        <v>WRKF FILE(TD0007/DEPOSTX)</v>
      </c>
      <c r="G62" s="11" t="s">
        <v>131</v>
      </c>
      <c r="H62" s="11"/>
    </row>
    <row r="63" spans="3:8">
      <c r="H63" s="3"/>
    </row>
    <row r="64" spans="3:8" ht="15" customHeight="1">
      <c r="E64" s="307" t="s">
        <v>153</v>
      </c>
      <c r="F64" s="28" t="str">
        <f>IF(B12=TRUE,"GASFTPSEND DTPPRO('EXTRA_TEST') DCDCMP('"&amp;REPT(0,4-LEN(B4))&amp;B4&amp;"')","")</f>
        <v>GASFTPSEND DTPPRO('EXTRA_TEST') DCDCMP('0007')</v>
      </c>
      <c r="G64" s="11" t="s">
        <v>129</v>
      </c>
    </row>
    <row r="65" spans="5:8" ht="15" customHeight="1">
      <c r="E65" s="307"/>
      <c r="F65" s="28" t="str">
        <f>IF(B13=TRUE,"GASFTPSEND DTPPRO('CELEC_TEST') DCDCMP('"&amp;REPT(0,4-LEN(B4))&amp;B4&amp;"')","")</f>
        <v>GASFTPSEND DTPPRO('CELEC_TEST') DCDCMP('0007')</v>
      </c>
      <c r="G65" s="11" t="s">
        <v>130</v>
      </c>
    </row>
    <row r="66" spans="5:8" ht="15" customHeight="1">
      <c r="E66" s="307"/>
      <c r="F66" s="28" t="str">
        <f>IF(B14=TRUE,"GASFTPSEND DTPPRO('DELEC_TEST') DCDCMP('"&amp;REPT(0,4-LEN(B4))&amp;B4&amp;"')","")</f>
        <v>GASFTPSEND DTPPRO('DELEC_TEST') DCDCMP('0007')</v>
      </c>
      <c r="G66" s="11" t="s">
        <v>131</v>
      </c>
    </row>
    <row r="67" spans="5:8" ht="15.75" customHeight="1">
      <c r="E67"/>
      <c r="H67" s="3"/>
    </row>
    <row r="68" spans="5:8" ht="15.75" customHeight="1">
      <c r="E68" s="39" t="s">
        <v>392</v>
      </c>
      <c r="F68" s="28" t="s">
        <v>388</v>
      </c>
      <c r="H68" s="3"/>
    </row>
    <row r="69" spans="5:8" ht="15.75" customHeight="1">
      <c r="E69"/>
      <c r="H69" s="3"/>
    </row>
    <row r="70" spans="5:8" ht="15.75" customHeight="1">
      <c r="E70" s="89" t="s">
        <v>391</v>
      </c>
      <c r="F70" s="28" t="str">
        <f>"P1200.P0000159.NCM"&amp;MID(B5,5,4)</f>
        <v>P1200.P0000159.NCM1215</v>
      </c>
      <c r="H70" s="3"/>
    </row>
    <row r="72" spans="5:8">
      <c r="E72" s="89" t="s">
        <v>390</v>
      </c>
      <c r="F72" s="28" t="str">
        <f>"P1200.P0000159.NCM"&amp;MID(B5,5,4)</f>
        <v>P1200.P0000159.NCM1215</v>
      </c>
      <c r="G72" s="88" t="s">
        <v>389</v>
      </c>
      <c r="H72" s="87" t="s">
        <v>387</v>
      </c>
    </row>
    <row r="74" spans="5:8">
      <c r="E74" s="89" t="s">
        <v>150</v>
      </c>
      <c r="F74" s="120" t="s">
        <v>127</v>
      </c>
    </row>
    <row r="76" spans="5:8" ht="34.5" customHeight="1">
      <c r="E76" s="311" t="s">
        <v>394</v>
      </c>
      <c r="F76" s="31" t="s">
        <v>393</v>
      </c>
    </row>
    <row r="77" spans="5:8" ht="15.75" customHeight="1">
      <c r="E77" s="312"/>
      <c r="F77" s="28" t="s">
        <v>395</v>
      </c>
    </row>
    <row r="79" spans="5:8">
      <c r="E79" s="89" t="s">
        <v>396</v>
      </c>
      <c r="F79" s="28" t="s">
        <v>397</v>
      </c>
    </row>
    <row r="81" spans="5:6">
      <c r="E81" s="89" t="s">
        <v>393</v>
      </c>
      <c r="F81" s="28" t="s">
        <v>398</v>
      </c>
    </row>
    <row r="82" spans="5:6">
      <c r="E82" s="89" t="s">
        <v>399</v>
      </c>
      <c r="F82" s="28" t="str">
        <f>"00"&amp;B4&amp;"  "&amp;B2&amp;"  "&amp;MID(F72,1,18)</f>
        <v>0007  BANCOL AMEX  P1200.P0000159.NCM</v>
      </c>
    </row>
    <row r="83" spans="5:6">
      <c r="E83" s="89" t="s">
        <v>400</v>
      </c>
      <c r="F83" s="28" t="str">
        <f>MID(B5,5,4)</f>
        <v>1215</v>
      </c>
    </row>
    <row r="84" spans="5:6" ht="15.75" customHeight="1">
      <c r="E84" s="378" t="s">
        <v>393</v>
      </c>
      <c r="F84" s="28" t="s">
        <v>402</v>
      </c>
    </row>
    <row r="85" spans="5:6" ht="15.75" customHeight="1">
      <c r="E85" s="379"/>
      <c r="F85" s="227" t="s">
        <v>403</v>
      </c>
    </row>
    <row r="86" spans="5:6" ht="15.75" customHeight="1">
      <c r="E86" s="89" t="s">
        <v>396</v>
      </c>
      <c r="F86" s="28" t="s">
        <v>397</v>
      </c>
    </row>
    <row r="87" spans="5:6" ht="15.75" customHeight="1">
      <c r="E87" s="113" t="s">
        <v>393</v>
      </c>
      <c r="F87" s="28" t="s">
        <v>404</v>
      </c>
    </row>
    <row r="88" spans="5:6" ht="15.75" customHeight="1">
      <c r="E88"/>
    </row>
    <row r="89" spans="5:6" ht="15.75" customHeight="1">
      <c r="E89" s="378" t="s">
        <v>405</v>
      </c>
      <c r="F89" s="28" t="s">
        <v>408</v>
      </c>
    </row>
    <row r="90" spans="5:6" ht="15.75" customHeight="1">
      <c r="E90" s="380"/>
      <c r="F90" s="28" t="str">
        <f>IF(F89="si","Vuelva a ejecutar las bciones en rojo","Continue con el proceso")</f>
        <v>Continue con el proceso</v>
      </c>
    </row>
    <row r="92" spans="5:6" ht="41.25" customHeight="1">
      <c r="E92" s="90" t="s">
        <v>409</v>
      </c>
      <c r="F92" s="31" t="str">
        <f>IF(B4="07","SELECT SUBSTR( ACIFCISS , 252, 3) FROM TD0007/ACIFCISS WHERE  SUBSTR( ACIFCISS , 252, 3) = '892' ","SELECT SUBSTR(DDATOS, 252, 3) FROM TD0019/ACIFOISS WHERE  SUBSTR(DDATOS, 252, 3) = '892'        WHERE  SUBSTR( ACIFCISS , 252, 3) = '892'     ")</f>
        <v xml:space="preserve">SELECT SUBSTR( ACIFCISS , 252, 3) FROM TD0007/ACIFCISS WHERE  SUBSTR( ACIFCISS , 252, 3) = '892' </v>
      </c>
    </row>
    <row r="94" spans="5:6" ht="29">
      <c r="E94" s="90" t="s">
        <v>410</v>
      </c>
      <c r="F94" s="102" t="str">
        <f>IF(B4="07","UPDATE TD0007/ACIFCISS SET ACIFCISS = SUBSTR( ACIFCISS , 1, 251)||'893'||SUBSTR( ACIFCISS , 255) WHERE  SUBSTR( ACIFCISS , 252, 3) = '892'","UPDATE TD0019/ACIFOISS SET DDATOS = SUBSTR(DDATOS, 1, 251)||'893'||SUBSTR(DDATOS, 255) WHERE  SUBSTR(DDATOS, 252, 3) = '892'")</f>
        <v>UPDATE TD0007/ACIFCISS SET ACIFCISS = SUBSTR( ACIFCISS , 1, 251)||'893'||SUBSTR( ACIFCISS , 255) WHERE  SUBSTR( ACIFCISS , 252, 3) = '892'</v>
      </c>
    </row>
    <row r="96" spans="5:6" ht="15" customHeight="1">
      <c r="E96" s="83" t="s">
        <v>153</v>
      </c>
      <c r="F96" s="28" t="str">
        <f>IF(B4="07","GASFTPSEND DTPPRO('OUT_INC_ISS_ACK') DCDCMP(07)","GASFTPSEND DTPPRO('OUT_INC_ISS_ACK') DCDCMP(19)")</f>
        <v>GASFTPSEND DTPPRO('OUT_INC_ISS_ACK') DCDCMP(07)</v>
      </c>
    </row>
    <row r="97" spans="5:5" ht="15" customHeight="1">
      <c r="E97"/>
    </row>
    <row r="98" spans="5:5" ht="15" customHeight="1">
      <c r="E98"/>
    </row>
    <row r="99" spans="5:5" ht="15" customHeight="1">
      <c r="E99"/>
    </row>
    <row r="100" spans="5:5" ht="15" customHeight="1">
      <c r="E100"/>
    </row>
    <row r="101" spans="5:5" ht="15" customHeight="1">
      <c r="E101"/>
    </row>
  </sheetData>
  <mergeCells count="17">
    <mergeCell ref="F9:F19"/>
    <mergeCell ref="E21:E24"/>
    <mergeCell ref="E30:E33"/>
    <mergeCell ref="G30:G33"/>
    <mergeCell ref="G46:G48"/>
    <mergeCell ref="E35:E41"/>
    <mergeCell ref="E43:E44"/>
    <mergeCell ref="E9:E19"/>
    <mergeCell ref="E89:E90"/>
    <mergeCell ref="H29:I29"/>
    <mergeCell ref="F30:F33"/>
    <mergeCell ref="E46:E48"/>
    <mergeCell ref="H46:H48"/>
    <mergeCell ref="E84:E85"/>
    <mergeCell ref="E64:E66"/>
    <mergeCell ref="E76:E77"/>
    <mergeCell ref="E60:E62"/>
  </mergeCells>
  <conditionalFormatting sqref="F76:F77 F79 F81:F88">
    <cfRule type="expression" dxfId="0" priority="1">
      <formula>$F$89="si"</formula>
    </cfRule>
  </conditionalFormatting>
  <dataValidations count="1">
    <dataValidation type="list" allowBlank="1" showInputMessage="1" showErrorMessage="1" sqref="B2" xr:uid="{68B3AB9C-FDB7-4F8E-8610-80C20D2CCB23}">
      <formula1>NOMBRE_BANCO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8</xdr:col>
                    <xdr:colOff>57150</xdr:colOff>
                    <xdr:row>29</xdr:row>
                    <xdr:rowOff>12700</xdr:rowOff>
                  </from>
                  <to>
                    <xdr:col>8</xdr:col>
                    <xdr:colOff>298450</xdr:colOff>
                    <xdr:row>30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8</xdr:col>
                    <xdr:colOff>69850</xdr:colOff>
                    <xdr:row>30</xdr:row>
                    <xdr:rowOff>0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8</xdr:col>
                    <xdr:colOff>69850</xdr:colOff>
                    <xdr:row>31</xdr:row>
                    <xdr:rowOff>0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1</xdr:col>
                    <xdr:colOff>742950</xdr:colOff>
                    <xdr:row>10</xdr:row>
                    <xdr:rowOff>152400</xdr:rowOff>
                  </from>
                  <to>
                    <xdr:col>1</xdr:col>
                    <xdr:colOff>1123950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1</xdr:col>
                    <xdr:colOff>736600</xdr:colOff>
                    <xdr:row>11</xdr:row>
                    <xdr:rowOff>146050</xdr:rowOff>
                  </from>
                  <to>
                    <xdr:col>1</xdr:col>
                    <xdr:colOff>1117600</xdr:colOff>
                    <xdr:row>13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1</xdr:col>
                    <xdr:colOff>736600</xdr:colOff>
                    <xdr:row>12</xdr:row>
                    <xdr:rowOff>146050</xdr:rowOff>
                  </from>
                  <to>
                    <xdr:col>1</xdr:col>
                    <xdr:colOff>1117600</xdr:colOff>
                    <xdr:row>14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0" name="Check Box 10">
              <controlPr defaultSize="0" autoFill="0" autoLine="0" autoPict="0">
                <anchor moveWithCells="1">
                  <from>
                    <xdr:col>8</xdr:col>
                    <xdr:colOff>57150</xdr:colOff>
                    <xdr:row>29</xdr:row>
                    <xdr:rowOff>12700</xdr:rowOff>
                  </from>
                  <to>
                    <xdr:col>8</xdr:col>
                    <xdr:colOff>298450</xdr:colOff>
                    <xdr:row>30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1" name="Check Box 11">
              <controlPr defaultSize="0" autoFill="0" autoLine="0" autoPict="0">
                <anchor moveWithCells="1">
                  <from>
                    <xdr:col>8</xdr:col>
                    <xdr:colOff>69850</xdr:colOff>
                    <xdr:row>30</xdr:row>
                    <xdr:rowOff>0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2" name="Check Box 12">
              <controlPr defaultSize="0" autoFill="0" autoLine="0" autoPict="0">
                <anchor moveWithCells="1">
                  <from>
                    <xdr:col>8</xdr:col>
                    <xdr:colOff>69850</xdr:colOff>
                    <xdr:row>31</xdr:row>
                    <xdr:rowOff>0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3" name="Check Box 13">
              <controlPr defaultSize="0" autoFill="0" autoLine="0" autoPict="0">
                <anchor moveWithCells="1">
                  <from>
                    <xdr:col>1</xdr:col>
                    <xdr:colOff>742950</xdr:colOff>
                    <xdr:row>10</xdr:row>
                    <xdr:rowOff>152400</xdr:rowOff>
                  </from>
                  <to>
                    <xdr:col>1</xdr:col>
                    <xdr:colOff>1123950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4" name="Check Box 14">
              <controlPr defaultSize="0" autoFill="0" autoLine="0" autoPict="0">
                <anchor moveWithCells="1">
                  <from>
                    <xdr:col>1</xdr:col>
                    <xdr:colOff>736600</xdr:colOff>
                    <xdr:row>11</xdr:row>
                    <xdr:rowOff>146050</xdr:rowOff>
                  </from>
                  <to>
                    <xdr:col>1</xdr:col>
                    <xdr:colOff>1117600</xdr:colOff>
                    <xdr:row>13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5" name="Check Box 15">
              <controlPr defaultSize="0" autoFill="0" autoLine="0" autoPict="0">
                <anchor moveWithCells="1">
                  <from>
                    <xdr:col>1</xdr:col>
                    <xdr:colOff>736600</xdr:colOff>
                    <xdr:row>12</xdr:row>
                    <xdr:rowOff>146050</xdr:rowOff>
                  </from>
                  <to>
                    <xdr:col>1</xdr:col>
                    <xdr:colOff>1117600</xdr:colOff>
                    <xdr:row>14</xdr:row>
                    <xdr:rowOff>31750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9277A1B-116E-4D7D-9E14-B2DBA4E99A46}">
          <x14:formula1>
            <xm:f>'Bancos y listas'!$G$2:$G$3</xm:f>
          </x14:formula1>
          <xm:sqref>F89</xm:sqref>
        </x14:dataValidation>
        <x14:dataValidation type="list" allowBlank="1" showInputMessage="1" showErrorMessage="1" xr:uid="{E3B3C781-88D1-43F1-B733-4181D68C5696}">
          <x14:formula1>
            <xm:f>'Bancos y listas'!$K$2:$K$4</xm:f>
          </x14:formula1>
          <xm:sqref>B17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D0818-7C9B-40D4-907C-CBBB4B053364}">
  <sheetPr codeName="Hoja12">
    <tabColor rgb="FFFFC000"/>
  </sheetPr>
  <dimension ref="A1:G50"/>
  <sheetViews>
    <sheetView topLeftCell="A27" workbookViewId="0">
      <selection activeCell="D50" sqref="D29:D50"/>
    </sheetView>
  </sheetViews>
  <sheetFormatPr baseColWidth="10" defaultRowHeight="14.5"/>
  <cols>
    <col min="1" max="1" width="17.7265625" bestFit="1" customWidth="1"/>
    <col min="2" max="2" width="16.7265625" bestFit="1" customWidth="1"/>
    <col min="3" max="3" width="14.1796875" bestFit="1" customWidth="1"/>
    <col min="5" max="5" width="16.81640625" bestFit="1" customWidth="1"/>
    <col min="6" max="6" width="16.7265625" bestFit="1" customWidth="1"/>
    <col min="7" max="7" width="65.1796875" bestFit="1" customWidth="1"/>
  </cols>
  <sheetData>
    <row r="1" spans="1:7">
      <c r="A1" s="101" t="s">
        <v>655</v>
      </c>
      <c r="B1" s="101" t="s">
        <v>657</v>
      </c>
      <c r="C1" s="101" t="s">
        <v>656</v>
      </c>
      <c r="D1" s="58"/>
      <c r="E1" s="101" t="s">
        <v>659</v>
      </c>
      <c r="F1" s="101" t="s">
        <v>657</v>
      </c>
      <c r="G1" s="101" t="s">
        <v>658</v>
      </c>
    </row>
    <row r="2" spans="1:7">
      <c r="A2" s="77" t="s">
        <v>351</v>
      </c>
      <c r="B2" s="247" t="s">
        <v>847</v>
      </c>
      <c r="C2" s="247" t="s">
        <v>850</v>
      </c>
      <c r="E2" s="414" t="s">
        <v>108</v>
      </c>
      <c r="F2" s="77" t="s">
        <v>351</v>
      </c>
      <c r="G2" s="17" t="str">
        <f t="shared" ref="G2:G9" si="0">IF(C2="PF","DSPOBJD OBJ("&amp;B10&amp;"/"&amp;B2&amp;") OBJTYPE(*FILE) DETAIL(*SERVICE)",IF(C2="LF","DSPOBJD OBJ("&amp;B10&amp;"/"&amp;B2&amp;") OBJTYPE(*FILE) DETAIL(*SERVICE)","WRKPGM PGM("&amp;B10&amp;"/"&amp;B2&amp;")"))</f>
        <v>DSPOBJD OBJ(BODEGATMP/REFTAB00PR) OBJTYPE(*FILE) DETAIL(*SERVICE)</v>
      </c>
    </row>
    <row r="3" spans="1:7">
      <c r="A3" s="77" t="s">
        <v>352</v>
      </c>
      <c r="B3" s="247" t="s">
        <v>848</v>
      </c>
      <c r="C3" s="247" t="s">
        <v>850</v>
      </c>
      <c r="E3" s="414"/>
      <c r="F3" s="77" t="s">
        <v>352</v>
      </c>
      <c r="G3" s="17" t="str">
        <f t="shared" si="0"/>
        <v>DSPOBJD OBJ(BASEDOS/VDF0846B) OBJTYPE(*FILE) DETAIL(*SERVICE)</v>
      </c>
    </row>
    <row r="4" spans="1:7">
      <c r="A4" s="77" t="s">
        <v>353</v>
      </c>
      <c r="B4" s="247" t="s">
        <v>849</v>
      </c>
      <c r="C4" s="247" t="s">
        <v>358</v>
      </c>
      <c r="E4" s="414"/>
      <c r="F4" s="77" t="s">
        <v>353</v>
      </c>
      <c r="G4" s="17" t="str">
        <f t="shared" si="0"/>
        <v>WRKPGM PGM(BASEDOS/VDR0015)</v>
      </c>
    </row>
    <row r="5" spans="1:7">
      <c r="A5" s="77" t="s">
        <v>354</v>
      </c>
      <c r="B5" s="247"/>
      <c r="C5" s="247"/>
      <c r="E5" s="414"/>
      <c r="F5" s="77" t="s">
        <v>354</v>
      </c>
      <c r="G5" s="17" t="str">
        <f t="shared" si="0"/>
        <v>WRKPGM PGM(/)</v>
      </c>
    </row>
    <row r="6" spans="1:7">
      <c r="A6" s="77" t="s">
        <v>355</v>
      </c>
      <c r="B6" s="247"/>
      <c r="C6" s="247"/>
      <c r="E6" s="414"/>
      <c r="F6" s="77" t="s">
        <v>355</v>
      </c>
      <c r="G6" s="17" t="str">
        <f t="shared" si="0"/>
        <v>WRKPGM PGM(/)</v>
      </c>
    </row>
    <row r="7" spans="1:7">
      <c r="A7" s="77" t="s">
        <v>356</v>
      </c>
      <c r="B7" s="247"/>
      <c r="C7" s="247"/>
      <c r="E7" s="414"/>
      <c r="F7" s="77" t="s">
        <v>356</v>
      </c>
      <c r="G7" s="17" t="str">
        <f t="shared" si="0"/>
        <v>WRKPGM PGM(/)</v>
      </c>
    </row>
    <row r="8" spans="1:7">
      <c r="A8" s="77" t="s">
        <v>359</v>
      </c>
      <c r="B8" s="247"/>
      <c r="C8" s="247"/>
      <c r="E8" s="414"/>
      <c r="F8" s="77" t="s">
        <v>359</v>
      </c>
      <c r="G8" s="17" t="str">
        <f t="shared" si="0"/>
        <v>WRKPGM PGM(/)</v>
      </c>
    </row>
    <row r="9" spans="1:7">
      <c r="A9" s="77" t="s">
        <v>357</v>
      </c>
      <c r="B9" s="26"/>
      <c r="C9" s="247"/>
      <c r="E9" s="414"/>
      <c r="F9" s="77" t="s">
        <v>357</v>
      </c>
      <c r="G9" s="17" t="str">
        <f t="shared" si="0"/>
        <v>WRKPGM PGM(/)</v>
      </c>
    </row>
    <row r="10" spans="1:7">
      <c r="A10" s="77" t="s">
        <v>242</v>
      </c>
      <c r="B10" s="231" t="s">
        <v>162</v>
      </c>
      <c r="C10" s="248"/>
      <c r="E10" s="414" t="s">
        <v>360</v>
      </c>
      <c r="F10" s="77" t="s">
        <v>351</v>
      </c>
      <c r="G10" s="17" t="str">
        <f t="shared" ref="G10:G17" si="1">"WRKOBJ OBJ("&amp;B10&amp;"/"&amp;B2&amp;")"</f>
        <v>WRKOBJ OBJ(BODEGATMP/REFTAB00PR)</v>
      </c>
    </row>
    <row r="11" spans="1:7">
      <c r="A11" s="77" t="s">
        <v>242</v>
      </c>
      <c r="B11" s="231" t="s">
        <v>187</v>
      </c>
      <c r="C11" s="248"/>
      <c r="E11" s="414"/>
      <c r="F11" s="77" t="s">
        <v>352</v>
      </c>
      <c r="G11" s="17" t="str">
        <f t="shared" si="1"/>
        <v>WRKOBJ OBJ(BASEDOS/VDF0846B)</v>
      </c>
    </row>
    <row r="12" spans="1:7">
      <c r="A12" s="77" t="s">
        <v>242</v>
      </c>
      <c r="B12" s="231" t="s">
        <v>187</v>
      </c>
      <c r="C12" s="248"/>
      <c r="E12" s="414"/>
      <c r="F12" s="77" t="s">
        <v>353</v>
      </c>
      <c r="G12" s="17" t="str">
        <f t="shared" si="1"/>
        <v>WRKOBJ OBJ(BASEDOS/VDR0015)</v>
      </c>
    </row>
    <row r="13" spans="1:7">
      <c r="A13" s="77" t="s">
        <v>242</v>
      </c>
      <c r="B13" s="231"/>
      <c r="C13" s="248"/>
      <c r="E13" s="414"/>
      <c r="F13" s="77" t="s">
        <v>354</v>
      </c>
      <c r="G13" s="17" t="str">
        <f t="shared" si="1"/>
        <v>WRKOBJ OBJ(/)</v>
      </c>
    </row>
    <row r="14" spans="1:7">
      <c r="A14" s="77" t="s">
        <v>242</v>
      </c>
      <c r="B14" s="231"/>
      <c r="C14" s="248"/>
      <c r="E14" s="414"/>
      <c r="F14" s="77" t="s">
        <v>355</v>
      </c>
      <c r="G14" s="17" t="str">
        <f t="shared" si="1"/>
        <v>WRKOBJ OBJ(/)</v>
      </c>
    </row>
    <row r="15" spans="1:7">
      <c r="A15" s="77" t="s">
        <v>242</v>
      </c>
      <c r="B15" s="231"/>
      <c r="C15" s="248"/>
      <c r="E15" s="414"/>
      <c r="F15" s="77" t="s">
        <v>356</v>
      </c>
      <c r="G15" s="17" t="str">
        <f t="shared" si="1"/>
        <v>WRKOBJ OBJ(/)</v>
      </c>
    </row>
    <row r="16" spans="1:7">
      <c r="A16" s="77" t="s">
        <v>242</v>
      </c>
      <c r="B16" s="231"/>
      <c r="C16" s="248"/>
      <c r="E16" s="414"/>
      <c r="F16" s="77" t="s">
        <v>359</v>
      </c>
      <c r="G16" s="17" t="str">
        <f t="shared" si="1"/>
        <v>WRKOBJ OBJ(/)</v>
      </c>
    </row>
    <row r="17" spans="1:7">
      <c r="A17" s="77" t="s">
        <v>242</v>
      </c>
      <c r="B17" s="231"/>
      <c r="C17" s="248"/>
      <c r="E17" s="414"/>
      <c r="F17" s="77" t="s">
        <v>357</v>
      </c>
      <c r="G17" s="17" t="str">
        <f t="shared" si="1"/>
        <v>WRKOBJ OBJ(/)</v>
      </c>
    </row>
    <row r="27" spans="1:7">
      <c r="D27" t="s">
        <v>312</v>
      </c>
    </row>
    <row r="28" spans="1:7">
      <c r="E28" s="293">
        <v>422274</v>
      </c>
      <c r="F28">
        <v>422274</v>
      </c>
      <c r="G28" t="str">
        <f>IF(E28=F28,"igual","diferente")</f>
        <v>igual</v>
      </c>
    </row>
    <row r="29" spans="1:7">
      <c r="D29">
        <v>422274</v>
      </c>
      <c r="E29" s="293">
        <v>483101</v>
      </c>
      <c r="F29">
        <v>483101</v>
      </c>
      <c r="G29" t="str">
        <f t="shared" ref="G29:G49" si="2">IF(E29=F29,"igual","diferente")</f>
        <v>igual</v>
      </c>
    </row>
    <row r="30" spans="1:7">
      <c r="D30">
        <v>483101</v>
      </c>
      <c r="E30" s="293">
        <v>498861</v>
      </c>
      <c r="F30">
        <v>498861</v>
      </c>
      <c r="G30" t="str">
        <f t="shared" si="2"/>
        <v>igual</v>
      </c>
    </row>
    <row r="31" spans="1:7">
      <c r="D31">
        <v>498861</v>
      </c>
      <c r="E31" s="293">
        <v>442549</v>
      </c>
      <c r="F31">
        <v>442549</v>
      </c>
      <c r="G31" t="str">
        <f t="shared" si="2"/>
        <v>igual</v>
      </c>
    </row>
    <row r="32" spans="1:7">
      <c r="D32">
        <v>442549</v>
      </c>
      <c r="E32" s="293">
        <v>498859</v>
      </c>
      <c r="F32">
        <v>498859</v>
      </c>
      <c r="G32" t="str">
        <f t="shared" si="2"/>
        <v>igual</v>
      </c>
    </row>
    <row r="33" spans="4:7">
      <c r="D33">
        <v>498859</v>
      </c>
      <c r="E33" s="293">
        <v>496084</v>
      </c>
      <c r="F33">
        <v>496084</v>
      </c>
      <c r="G33" t="str">
        <f t="shared" si="2"/>
        <v>igual</v>
      </c>
    </row>
    <row r="34" spans="4:7">
      <c r="D34">
        <v>496084</v>
      </c>
      <c r="E34" s="293">
        <v>483100</v>
      </c>
      <c r="F34">
        <v>483100</v>
      </c>
      <c r="G34" t="str">
        <f t="shared" si="2"/>
        <v>igual</v>
      </c>
    </row>
    <row r="35" spans="4:7">
      <c r="D35">
        <v>483100</v>
      </c>
      <c r="E35" s="293">
        <v>483102</v>
      </c>
      <c r="F35">
        <v>483102</v>
      </c>
      <c r="G35" t="str">
        <f t="shared" si="2"/>
        <v>igual</v>
      </c>
    </row>
    <row r="36" spans="4:7">
      <c r="D36">
        <v>483102</v>
      </c>
      <c r="E36" s="293">
        <v>482454</v>
      </c>
      <c r="F36">
        <v>482454</v>
      </c>
      <c r="G36" t="str">
        <f t="shared" si="2"/>
        <v>igual</v>
      </c>
    </row>
    <row r="37" spans="4:7">
      <c r="D37">
        <v>482454</v>
      </c>
      <c r="E37" s="293">
        <v>401086</v>
      </c>
      <c r="F37">
        <v>401086</v>
      </c>
      <c r="G37" t="str">
        <f t="shared" si="2"/>
        <v>igual</v>
      </c>
    </row>
    <row r="38" spans="4:7">
      <c r="D38">
        <v>401086</v>
      </c>
      <c r="E38" s="293">
        <v>457317</v>
      </c>
      <c r="F38">
        <v>457317</v>
      </c>
      <c r="G38" t="str">
        <f t="shared" si="2"/>
        <v>igual</v>
      </c>
    </row>
    <row r="39" spans="4:7">
      <c r="D39">
        <v>457317</v>
      </c>
      <c r="E39" s="293">
        <v>401087</v>
      </c>
      <c r="F39">
        <v>401087</v>
      </c>
      <c r="G39" t="str">
        <f t="shared" si="2"/>
        <v>igual</v>
      </c>
    </row>
    <row r="40" spans="4:7">
      <c r="D40">
        <v>401087</v>
      </c>
      <c r="E40" s="293">
        <v>401089</v>
      </c>
      <c r="F40">
        <v>401089</v>
      </c>
      <c r="G40" t="str">
        <f t="shared" si="2"/>
        <v>igual</v>
      </c>
    </row>
    <row r="41" spans="4:7">
      <c r="D41">
        <v>401089</v>
      </c>
      <c r="E41" s="294">
        <v>461202</v>
      </c>
      <c r="F41">
        <v>461202</v>
      </c>
      <c r="G41" t="str">
        <f t="shared" si="2"/>
        <v>igual</v>
      </c>
    </row>
    <row r="42" spans="4:7">
      <c r="D42">
        <v>461202</v>
      </c>
      <c r="E42" s="293">
        <v>498476</v>
      </c>
      <c r="F42">
        <v>498476</v>
      </c>
      <c r="G42" t="str">
        <f t="shared" si="2"/>
        <v>igual</v>
      </c>
    </row>
    <row r="43" spans="4:7">
      <c r="D43">
        <v>498476</v>
      </c>
      <c r="E43" s="293">
        <v>401088</v>
      </c>
      <c r="F43">
        <v>401088</v>
      </c>
      <c r="G43" t="str">
        <f t="shared" si="2"/>
        <v>igual</v>
      </c>
    </row>
    <row r="44" spans="4:7">
      <c r="D44">
        <v>401088</v>
      </c>
      <c r="E44" s="293">
        <v>488248</v>
      </c>
      <c r="F44">
        <v>488248</v>
      </c>
      <c r="G44" t="str">
        <f t="shared" si="2"/>
        <v>igual</v>
      </c>
    </row>
    <row r="45" spans="4:7">
      <c r="D45">
        <v>488248</v>
      </c>
      <c r="E45" s="293">
        <v>454601</v>
      </c>
      <c r="F45">
        <v>454601</v>
      </c>
      <c r="G45" t="str">
        <f t="shared" si="2"/>
        <v>igual</v>
      </c>
    </row>
    <row r="46" spans="4:7">
      <c r="D46">
        <v>454601</v>
      </c>
      <c r="E46" s="293">
        <v>488246</v>
      </c>
      <c r="F46">
        <v>488246</v>
      </c>
      <c r="G46" t="str">
        <f t="shared" si="2"/>
        <v>igual</v>
      </c>
    </row>
    <row r="47" spans="4:7">
      <c r="D47">
        <v>488246</v>
      </c>
      <c r="E47" s="293">
        <v>404177</v>
      </c>
      <c r="F47">
        <v>404177</v>
      </c>
      <c r="G47" t="str">
        <f t="shared" si="2"/>
        <v>igual</v>
      </c>
    </row>
    <row r="48" spans="4:7">
      <c r="D48">
        <v>404177</v>
      </c>
      <c r="E48" s="293">
        <v>440811</v>
      </c>
      <c r="F48">
        <v>440811</v>
      </c>
      <c r="G48" t="str">
        <f t="shared" si="2"/>
        <v>igual</v>
      </c>
    </row>
    <row r="49" spans="4:7">
      <c r="D49">
        <v>440811</v>
      </c>
      <c r="E49" s="293">
        <v>482484</v>
      </c>
      <c r="F49">
        <v>482484</v>
      </c>
      <c r="G49" t="str">
        <f t="shared" si="2"/>
        <v>igual</v>
      </c>
    </row>
    <row r="50" spans="4:7">
      <c r="D50">
        <v>482484</v>
      </c>
    </row>
  </sheetData>
  <mergeCells count="2">
    <mergeCell ref="E10:E17"/>
    <mergeCell ref="E2:E9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CF67A-A0EC-4E50-B5C7-301AEA7ED88E}">
  <sheetPr codeName="Hoja8">
    <tabColor theme="5" tint="0.59999389629810485"/>
  </sheetPr>
  <dimension ref="A1:K60"/>
  <sheetViews>
    <sheetView topLeftCell="C1" zoomScale="106" zoomScaleNormal="106" workbookViewId="0">
      <selection activeCell="E33" sqref="E33"/>
    </sheetView>
  </sheetViews>
  <sheetFormatPr baseColWidth="10" defaultRowHeight="14.5"/>
  <cols>
    <col min="1" max="1" width="15" bestFit="1" customWidth="1"/>
    <col min="2" max="2" width="80.81640625" bestFit="1" customWidth="1"/>
    <col min="3" max="3" width="13.54296875" customWidth="1"/>
    <col min="4" max="4" width="19.54296875" customWidth="1"/>
    <col min="5" max="5" width="96.453125" bestFit="1" customWidth="1"/>
    <col min="6" max="6" width="18" bestFit="1" customWidth="1"/>
    <col min="7" max="7" width="11.1796875" bestFit="1" customWidth="1"/>
    <col min="8" max="8" width="13.81640625" bestFit="1" customWidth="1"/>
    <col min="9" max="9" width="12.26953125" bestFit="1" customWidth="1"/>
    <col min="10" max="10" width="37.7265625" customWidth="1"/>
    <col min="15" max="15" width="16.453125" bestFit="1" customWidth="1"/>
    <col min="16" max="16" width="14.1796875" bestFit="1" customWidth="1"/>
    <col min="17" max="17" width="17.26953125" bestFit="1" customWidth="1"/>
    <col min="18" max="18" width="15" bestFit="1" customWidth="1"/>
    <col min="19" max="19" width="34.453125" bestFit="1" customWidth="1"/>
  </cols>
  <sheetData>
    <row r="1" spans="1:7">
      <c r="A1" s="8" t="s">
        <v>218</v>
      </c>
      <c r="B1" s="268" t="s">
        <v>858</v>
      </c>
      <c r="C1" s="17"/>
      <c r="G1" t="s">
        <v>636</v>
      </c>
    </row>
    <row r="2" spans="1:7">
      <c r="A2" s="8" t="s">
        <v>219</v>
      </c>
      <c r="B2" s="268" t="s">
        <v>859</v>
      </c>
      <c r="C2" s="17"/>
      <c r="E2" t="s">
        <v>794</v>
      </c>
    </row>
    <row r="3" spans="1:7">
      <c r="A3" s="8" t="s">
        <v>220</v>
      </c>
      <c r="B3" s="268"/>
      <c r="C3" s="17"/>
      <c r="E3" t="s">
        <v>795</v>
      </c>
    </row>
    <row r="4" spans="1:7">
      <c r="A4" s="8" t="s">
        <v>221</v>
      </c>
      <c r="B4" s="268"/>
      <c r="C4" s="17"/>
    </row>
    <row r="5" spans="1:7">
      <c r="A5" s="8" t="s">
        <v>222</v>
      </c>
      <c r="B5" s="268"/>
      <c r="C5" s="17"/>
    </row>
    <row r="6" spans="1:7">
      <c r="A6" s="8" t="s">
        <v>248</v>
      </c>
      <c r="B6" s="268"/>
      <c r="C6" s="17"/>
    </row>
    <row r="7" spans="1:7">
      <c r="A7" s="8" t="s">
        <v>223</v>
      </c>
      <c r="B7" s="5" t="str">
        <f>IF(B2="",""&amp;B1&amp;"",IF(B3="",""&amp;B1&amp;" "&amp;""&amp;B2&amp;"",IF(B4="",""&amp;B1&amp;" "&amp;""&amp;B2&amp;" "&amp;""&amp;B3&amp;"",IF(B5="",""&amp;B1&amp;" "&amp;""&amp;B2&amp;" "&amp;""&amp;B3&amp;" "&amp;""&amp;B4&amp;"",IF(B5="",""&amp;B1&amp;" "&amp;""&amp;B2&amp;" "&amp;""&amp;B3&amp;" "&amp;""&amp;B4&amp;" "&amp;""&amp;B5&amp;"",IF(B6&lt;&gt;"",""&amp;B1&amp;" "&amp;""&amp;B2&amp;" "&amp;""&amp;B3&amp;" "&amp;""&amp;B4&amp;" "&amp;""&amp;B5&amp;""&amp;" "&amp;B6))))))</f>
        <v>FTLF_14 PTLF_14</v>
      </c>
      <c r="C7" s="17"/>
    </row>
    <row r="8" spans="1:7">
      <c r="A8" s="8" t="s">
        <v>242</v>
      </c>
      <c r="B8" s="268" t="s">
        <v>162</v>
      </c>
      <c r="C8" s="17"/>
      <c r="E8" s="19"/>
    </row>
    <row r="9" spans="1:7">
      <c r="A9" s="8" t="s">
        <v>159</v>
      </c>
      <c r="B9" s="17" t="s">
        <v>160</v>
      </c>
      <c r="C9" s="17"/>
      <c r="E9" s="19"/>
    </row>
    <row r="10" spans="1:7">
      <c r="A10" s="8" t="s">
        <v>161</v>
      </c>
      <c r="B10" s="17" t="s">
        <v>224</v>
      </c>
      <c r="C10" s="17"/>
    </row>
    <row r="12" spans="1:7" ht="96.75" customHeight="1">
      <c r="C12" s="419" t="s">
        <v>227</v>
      </c>
      <c r="D12" s="128" t="s">
        <v>201</v>
      </c>
      <c r="E12" s="35" t="str">
        <f>"SAVOBJ OBJ("&amp;B7&amp;") LIB("&amp;B8&amp;") DEV(*SAVF) SAVF("&amp;'Transferencia de archivos'!B10&amp;"/"&amp;'Transferencia de archivos'!B9&amp;")"</f>
        <v>SAVOBJ OBJ(FTLF_14 PTLF_14) LIB(BODEGATMP) DEV(*SAVF) SAVF(OPERACION/PASEN)</v>
      </c>
      <c r="F12" s="144"/>
      <c r="G12" s="12" t="s">
        <v>214</v>
      </c>
    </row>
    <row r="13" spans="1:7">
      <c r="C13" s="419"/>
      <c r="D13" s="21"/>
      <c r="E13" s="136"/>
      <c r="F13" s="9"/>
      <c r="G13" s="12"/>
    </row>
    <row r="14" spans="1:7">
      <c r="C14" s="419"/>
      <c r="D14" s="128" t="s">
        <v>209</v>
      </c>
      <c r="E14" s="17" t="s">
        <v>210</v>
      </c>
      <c r="F14" s="144"/>
      <c r="G14" s="12"/>
    </row>
    <row r="15" spans="1:7">
      <c r="A15" s="33"/>
      <c r="C15" s="419"/>
      <c r="D15" s="128" t="s">
        <v>211</v>
      </c>
      <c r="E15" s="36" t="s">
        <v>212</v>
      </c>
      <c r="F15" s="144"/>
      <c r="G15" s="12" t="s">
        <v>214</v>
      </c>
    </row>
    <row r="16" spans="1:7">
      <c r="A16" s="33"/>
      <c r="C16" s="419"/>
      <c r="D16" s="20"/>
      <c r="E16" s="135"/>
      <c r="F16" s="9"/>
      <c r="G16" s="12"/>
    </row>
    <row r="17" spans="1:11">
      <c r="A17" s="33"/>
      <c r="C17" s="419"/>
      <c r="D17" s="357" t="s">
        <v>225</v>
      </c>
      <c r="E17" s="17" t="s">
        <v>213</v>
      </c>
      <c r="F17" s="144"/>
      <c r="G17" s="12" t="s">
        <v>214</v>
      </c>
    </row>
    <row r="18" spans="1:11">
      <c r="A18" s="33"/>
      <c r="C18" s="419"/>
      <c r="D18" s="357"/>
      <c r="E18" s="17" t="s">
        <v>215</v>
      </c>
      <c r="F18" s="144"/>
      <c r="G18" s="12" t="s">
        <v>214</v>
      </c>
    </row>
    <row r="19" spans="1:11">
      <c r="A19" s="33"/>
      <c r="C19" s="419"/>
      <c r="D19" s="357"/>
      <c r="E19" s="17" t="s">
        <v>216</v>
      </c>
      <c r="F19" s="144"/>
      <c r="G19" s="12" t="s">
        <v>214</v>
      </c>
    </row>
    <row r="20" spans="1:11">
      <c r="A20" s="33"/>
      <c r="C20" s="419"/>
      <c r="D20" s="9"/>
      <c r="E20" s="135"/>
      <c r="F20" s="9"/>
      <c r="G20" s="12"/>
    </row>
    <row r="21" spans="1:11">
      <c r="A21" s="33"/>
      <c r="C21" s="419"/>
      <c r="D21" s="128" t="s">
        <v>226</v>
      </c>
      <c r="E21" s="17" t="str">
        <f>"put /QSYS.LIB/"&amp;B10&amp;".LIB/"&amp;B9&amp;".FILE "&amp;B9</f>
        <v>put /QSYS.LIB/OPERACION.LIB/PASEN.FILE PASEN</v>
      </c>
      <c r="F21" s="144"/>
      <c r="G21" s="12" t="s">
        <v>214</v>
      </c>
    </row>
    <row r="22" spans="1:11">
      <c r="A22" s="33"/>
      <c r="C22" s="23"/>
      <c r="F22" s="9"/>
      <c r="G22" s="12"/>
    </row>
    <row r="23" spans="1:11">
      <c r="A23" s="33"/>
      <c r="C23" s="23"/>
      <c r="F23" s="9"/>
      <c r="G23" s="12"/>
    </row>
    <row r="24" spans="1:11">
      <c r="A24" s="33"/>
      <c r="C24" s="420" t="s">
        <v>164</v>
      </c>
      <c r="D24" s="167" t="s">
        <v>209</v>
      </c>
      <c r="E24" s="17" t="s">
        <v>210</v>
      </c>
      <c r="F24" s="144"/>
      <c r="G24" s="12"/>
    </row>
    <row r="25" spans="1:11">
      <c r="C25" s="420"/>
      <c r="D25" s="167" t="s">
        <v>211</v>
      </c>
      <c r="E25" s="36" t="s">
        <v>212</v>
      </c>
      <c r="F25" s="144"/>
      <c r="G25" s="12" t="s">
        <v>214</v>
      </c>
    </row>
    <row r="26" spans="1:11">
      <c r="C26" s="420"/>
      <c r="F26" s="9"/>
      <c r="G26" s="12"/>
    </row>
    <row r="27" spans="1:11">
      <c r="C27" s="420"/>
      <c r="D27" s="421" t="s">
        <v>225</v>
      </c>
      <c r="E27" s="17" t="s">
        <v>213</v>
      </c>
      <c r="F27" s="144"/>
      <c r="G27" s="12" t="s">
        <v>214</v>
      </c>
    </row>
    <row r="28" spans="1:11">
      <c r="C28" s="420"/>
      <c r="D28" s="422"/>
      <c r="E28" s="17" t="s">
        <v>215</v>
      </c>
      <c r="F28" s="144"/>
      <c r="G28" s="12" t="s">
        <v>214</v>
      </c>
    </row>
    <row r="29" spans="1:11">
      <c r="C29" s="420"/>
      <c r="D29" s="423"/>
      <c r="E29" s="17" t="s">
        <v>216</v>
      </c>
      <c r="F29" s="144"/>
      <c r="G29" s="12" t="s">
        <v>214</v>
      </c>
    </row>
    <row r="30" spans="1:11">
      <c r="C30" s="420"/>
      <c r="D30" s="20"/>
      <c r="E30" s="135"/>
      <c r="F30" s="9"/>
      <c r="G30" s="12"/>
    </row>
    <row r="31" spans="1:11">
      <c r="C31" s="420"/>
      <c r="D31" s="167" t="s">
        <v>217</v>
      </c>
      <c r="E31" s="17" t="str">
        <f>"get "&amp;B9&amp;" /QSYS.LIB/"&amp;B10&amp;".LIB/"&amp;B9&amp;".FILE (replace"</f>
        <v>get PASEN /QSYS.LIB/OPERACION.LIB/PASEN.FILE (replace</v>
      </c>
      <c r="F31" s="144"/>
      <c r="G31" s="12" t="s">
        <v>214</v>
      </c>
      <c r="I31" t="s">
        <v>641</v>
      </c>
    </row>
    <row r="32" spans="1:11">
      <c r="C32" s="420"/>
      <c r="G32" s="24"/>
      <c r="J32" t="s">
        <v>642</v>
      </c>
      <c r="K32" t="s">
        <v>643</v>
      </c>
    </row>
    <row r="33" spans="3:11" ht="82.5" customHeight="1">
      <c r="C33" s="420"/>
      <c r="D33" s="167" t="s">
        <v>173</v>
      </c>
      <c r="E33" s="30" t="str">
        <f>"RSTOBJ OBJ("&amp;B7&amp;") SAVLIB("&amp;B8&amp;") DEV(*SAVF) SAVF("&amp;B10&amp;"/"&amp;B9&amp;") RSTLIB(BODEGATMP)"</f>
        <v>RSTOBJ OBJ(FTLF_14 PTLF_14) SAVLIB(BODEGATMP) DEV(*SAVF) SAVF(OPERACION/PASEN) RSTLIB(BODEGATMP)</v>
      </c>
      <c r="F33" s="144"/>
      <c r="G33" s="12" t="s">
        <v>214</v>
      </c>
    </row>
    <row r="34" spans="3:11">
      <c r="C34" s="22"/>
      <c r="I34" t="s">
        <v>644</v>
      </c>
    </row>
    <row r="35" spans="3:11">
      <c r="C35" s="22"/>
      <c r="E35" t="s">
        <v>857</v>
      </c>
    </row>
    <row r="36" spans="3:11">
      <c r="C36" s="22"/>
      <c r="E36" s="425" t="s">
        <v>754</v>
      </c>
      <c r="F36" s="424" t="s">
        <v>163</v>
      </c>
      <c r="G36" s="424"/>
      <c r="H36" s="417" t="s">
        <v>164</v>
      </c>
      <c r="I36" s="418"/>
    </row>
    <row r="37" spans="3:11">
      <c r="E37" s="426"/>
      <c r="F37" s="55" t="s">
        <v>308</v>
      </c>
      <c r="G37" s="55" t="s">
        <v>307</v>
      </c>
      <c r="H37" s="56" t="s">
        <v>308</v>
      </c>
      <c r="I37" s="56" t="s">
        <v>307</v>
      </c>
      <c r="J37" s="56" t="s">
        <v>247</v>
      </c>
    </row>
    <row r="38" spans="3:11">
      <c r="E38" s="17"/>
      <c r="F38" s="54" t="s">
        <v>491</v>
      </c>
      <c r="G38" t="s">
        <v>481</v>
      </c>
      <c r="H38" s="34" t="s">
        <v>162</v>
      </c>
      <c r="I38" s="17" t="s">
        <v>851</v>
      </c>
      <c r="J38" s="35"/>
    </row>
    <row r="39" spans="3:11">
      <c r="E39" s="17"/>
      <c r="F39" s="54" t="s">
        <v>491</v>
      </c>
      <c r="G39" t="s">
        <v>856</v>
      </c>
      <c r="H39" s="34" t="s">
        <v>162</v>
      </c>
      <c r="I39" s="34" t="s">
        <v>852</v>
      </c>
      <c r="J39" s="35"/>
      <c r="K39" t="s">
        <v>324</v>
      </c>
    </row>
    <row r="40" spans="3:11">
      <c r="E40" s="17"/>
      <c r="F40" s="54" t="s">
        <v>491</v>
      </c>
      <c r="G40" t="s">
        <v>856</v>
      </c>
      <c r="H40" s="34" t="s">
        <v>162</v>
      </c>
      <c r="I40" s="34" t="s">
        <v>853</v>
      </c>
      <c r="J40" s="35"/>
    </row>
    <row r="41" spans="3:11">
      <c r="E41" s="17"/>
      <c r="F41" s="415" t="s">
        <v>855</v>
      </c>
      <c r="G41" s="416"/>
      <c r="H41" s="34" t="s">
        <v>162</v>
      </c>
      <c r="I41" s="34" t="s">
        <v>854</v>
      </c>
      <c r="J41" s="35"/>
    </row>
    <row r="42" spans="3:11">
      <c r="E42" s="17"/>
      <c r="F42" s="34"/>
      <c r="G42" s="34"/>
      <c r="H42" s="34"/>
      <c r="I42" s="34"/>
      <c r="J42" s="35"/>
    </row>
    <row r="43" spans="3:11">
      <c r="E43" s="17"/>
      <c r="F43" s="34"/>
      <c r="G43" s="34"/>
      <c r="H43" s="34"/>
      <c r="I43" s="34"/>
      <c r="J43" s="35"/>
    </row>
    <row r="44" spans="3:11">
      <c r="E44" s="17"/>
      <c r="F44" s="54"/>
      <c r="G44" s="34"/>
      <c r="H44" s="34"/>
      <c r="I44" s="34"/>
      <c r="J44" s="35"/>
    </row>
    <row r="45" spans="3:11">
      <c r="E45" s="17"/>
      <c r="F45" s="54"/>
      <c r="G45" s="34"/>
      <c r="H45" s="34"/>
      <c r="I45" s="34"/>
      <c r="J45" s="35"/>
    </row>
    <row r="46" spans="3:11">
      <c r="E46" s="17"/>
      <c r="F46" s="54"/>
      <c r="G46" s="54"/>
      <c r="H46" s="34"/>
      <c r="I46" s="34"/>
      <c r="J46" s="35"/>
    </row>
    <row r="47" spans="3:11">
      <c r="E47" s="17"/>
      <c r="F47" s="54"/>
      <c r="G47" s="54"/>
      <c r="H47" s="34"/>
      <c r="I47" s="54"/>
      <c r="J47" s="35"/>
    </row>
    <row r="48" spans="3:11">
      <c r="E48" s="17"/>
      <c r="F48" s="54"/>
      <c r="G48" s="34"/>
      <c r="H48" s="34"/>
      <c r="I48" s="34"/>
      <c r="J48" s="35"/>
    </row>
    <row r="49" spans="5:10">
      <c r="E49" s="17"/>
      <c r="F49" s="5"/>
      <c r="G49" s="5"/>
      <c r="H49" s="34"/>
      <c r="I49" s="5"/>
      <c r="J49" s="35"/>
    </row>
    <row r="50" spans="5:10">
      <c r="E50" s="17"/>
      <c r="F50" s="54"/>
      <c r="G50" s="54"/>
      <c r="H50" s="34"/>
      <c r="I50" s="54"/>
      <c r="J50" s="35"/>
    </row>
    <row r="51" spans="5:10">
      <c r="E51" s="17"/>
      <c r="F51" s="54"/>
      <c r="G51" s="54"/>
      <c r="H51" s="34"/>
      <c r="I51" s="54"/>
      <c r="J51" s="35"/>
    </row>
    <row r="52" spans="5:10">
      <c r="E52" s="17"/>
      <c r="F52" s="54"/>
      <c r="G52" s="54"/>
      <c r="H52" s="34"/>
      <c r="I52" s="54"/>
      <c r="J52" s="35"/>
    </row>
    <row r="53" spans="5:10">
      <c r="F53" s="54"/>
      <c r="G53" s="54"/>
      <c r="H53" s="34"/>
      <c r="I53" s="54"/>
      <c r="J53" s="35"/>
    </row>
    <row r="54" spans="5:10">
      <c r="F54" s="54"/>
      <c r="G54" s="54"/>
      <c r="H54" s="34"/>
      <c r="I54" s="54"/>
      <c r="J54" s="35"/>
    </row>
    <row r="55" spans="5:10">
      <c r="F55" s="54"/>
      <c r="G55" s="54"/>
      <c r="H55" s="34"/>
      <c r="I55" s="54"/>
      <c r="J55" s="35"/>
    </row>
    <row r="57" spans="5:10">
      <c r="F57" t="s">
        <v>851</v>
      </c>
    </row>
    <row r="58" spans="5:10">
      <c r="F58" t="s">
        <v>852</v>
      </c>
    </row>
    <row r="59" spans="5:10">
      <c r="F59" t="s">
        <v>853</v>
      </c>
    </row>
    <row r="60" spans="5:10">
      <c r="F60" t="s">
        <v>854</v>
      </c>
    </row>
  </sheetData>
  <mergeCells count="8">
    <mergeCell ref="F41:G41"/>
    <mergeCell ref="H36:I36"/>
    <mergeCell ref="D17:D19"/>
    <mergeCell ref="C12:C21"/>
    <mergeCell ref="C24:C33"/>
    <mergeCell ref="D27:D29"/>
    <mergeCell ref="F36:G36"/>
    <mergeCell ref="E36:E37"/>
  </mergeCells>
  <phoneticPr fontId="4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6ED1F-45AF-453C-94FB-0A577EB3C1D7}">
  <sheetPr codeName="Hoja18">
    <tabColor rgb="FF92D050"/>
  </sheetPr>
  <dimension ref="A1:J29"/>
  <sheetViews>
    <sheetView topLeftCell="D9" workbookViewId="0">
      <selection activeCell="D27" sqref="D27"/>
    </sheetView>
  </sheetViews>
  <sheetFormatPr baseColWidth="10" defaultRowHeight="14.5"/>
  <cols>
    <col min="1" max="1" width="24.1796875" bestFit="1" customWidth="1"/>
    <col min="2" max="2" width="30.54296875" bestFit="1" customWidth="1"/>
    <col min="3" max="3" width="14.26953125" bestFit="1" customWidth="1"/>
    <col min="5" max="5" width="28.453125" bestFit="1" customWidth="1"/>
    <col min="6" max="6" width="65.7265625" customWidth="1"/>
    <col min="7" max="7" width="13.1796875" customWidth="1"/>
    <col min="8" max="8" width="6.54296875" bestFit="1" customWidth="1"/>
  </cols>
  <sheetData>
    <row r="1" spans="1:10">
      <c r="A1" s="4" t="s">
        <v>136</v>
      </c>
      <c r="B1" s="4" t="s">
        <v>135</v>
      </c>
      <c r="C1" s="4" t="s">
        <v>134</v>
      </c>
    </row>
    <row r="2" spans="1:10" ht="15.5">
      <c r="A2" s="4" t="s">
        <v>103</v>
      </c>
      <c r="B2" s="5" t="s">
        <v>454</v>
      </c>
      <c r="C2" s="5"/>
      <c r="E2" s="166" t="s">
        <v>137</v>
      </c>
      <c r="F2" s="28" t="s">
        <v>617</v>
      </c>
    </row>
    <row r="3" spans="1:10">
      <c r="A3" s="4" t="s">
        <v>104</v>
      </c>
      <c r="B3" s="6" t="str">
        <f>VLOOKUP(B2,'Bancos y listas'!B:C,2,FALSE)</f>
        <v>VISA</v>
      </c>
      <c r="C3" s="5"/>
    </row>
    <row r="4" spans="1:10" ht="15.5">
      <c r="A4" s="4" t="s">
        <v>104</v>
      </c>
      <c r="B4" s="6" t="str">
        <f>IF(B3="VISA","VISA",REPT("0",2-LEN(B3))&amp;VLOOKUP(B2,'Bancos y listas'!B:C,2,FALSE))</f>
        <v>VISA</v>
      </c>
      <c r="C4" s="5"/>
      <c r="E4" s="89" t="s">
        <v>138</v>
      </c>
      <c r="F4" s="28" t="s">
        <v>109</v>
      </c>
    </row>
    <row r="5" spans="1:10" ht="15" customHeight="1">
      <c r="A5" s="4" t="s">
        <v>108</v>
      </c>
      <c r="B5" s="7">
        <v>20230123</v>
      </c>
      <c r="C5" s="5" t="s">
        <v>126</v>
      </c>
      <c r="F5" s="15"/>
      <c r="I5" s="111" t="s">
        <v>315</v>
      </c>
      <c r="J5" s="111"/>
    </row>
    <row r="6" spans="1:10" ht="15" customHeight="1">
      <c r="A6" s="8" t="s">
        <v>118</v>
      </c>
      <c r="B6" s="6">
        <v>409355</v>
      </c>
      <c r="C6" s="5"/>
      <c r="E6" s="427" t="s">
        <v>625</v>
      </c>
      <c r="F6" s="318" t="str">
        <f>IF(AND(J6=TRUE,J7=TRUE,J8=TRUE),"select DFHTRA,DLGNET, DCDMSG, DFIDID, DTPTRA, DCDEST, DTERMI, DCDRES,DREFER, DCAPFL,substr(dcdtar, 1, 6)||'********'||substr(dcdtar, 15, 2) AS TARJPRO,substr(DCDTAR, 1, 6), DMONT1,DCPAIS from BODEGATMP/FPTLFTVQNS where DFIDID like '%"&amp;B4&amp;"%' AND substr(DCDTAR, 1, 6)in ("&amp;B11&amp;") and DREFER&lt;&gt;''  ORDER BY DREFER,DCAPFL",IF(AND(J6=TRUE,J7=TRUE),"select DFHTRA,DLGNET, DCDMSG, DFIDID, DTPTRA, DCDEST, DTERMI, DCDRES,DREFER, DCAPFL,substr(dcdtar, 1, 6)||'********'||substr(dcdtar, 15, 2) AS TARJPRO,substr(DCDTAR, 1, 6), DMONT1,DCPAIS from BODEGATMP/FPTLFTVQNS where substr(DCDTAR, 1, 6)in ("&amp;B11&amp;") and DREFER&lt;&gt;''  ORDER BY DREFER,DCAPFL",IF(AND(J7=TRUE,J8=TRUE),"select DFHTRA,DLGNET, DCDMSG, DFIDID, DTPTRA, DCDEST, DTERMI, DCDRES,DREFER, DCAPFL,substr(dcdtar, 1, 6)||'********'||substr(dcdtar, 15, 2) AS TARJPRO,substr(DCDTAR, 1, 6), DMONT1,DCPAIS from BODEGATMP/FPTLFTVQNS where DFIDID like '%"&amp;B4&amp;"%' AND substr(DCDTAR, 1, 6)in ("&amp;B11&amp;") ORDER BY DREFER,DCAPFL",IF(AND(J6=TRUE,J8=TRUE),"select DFHTRA,DLGNET, DCDMSG, DFIDID, DTPTRA, DCDEST, DTERMI, DCDRES,DREFER, DCAPFL,substr(dcdtar, 1, 6)||'********'||substr(dcdtar, 15, 2) AS TARJPRO,substr(DCDTAR, 1, 6), DMONT1,DCPAIS from BODEGATMP/FPTLFTVQNS where DFIDID like '%"&amp;B4&amp;"%' and DREFER&lt;&gt;''  ORDER BY DREFER,DCAPFL",IF(J6=TRUE,"select DFHTRA,DLGNET, DCDMSG, DFIDID, DTPTRA, DCDEST, DTERMI, DCDRES,DREFER, DCAPFL,substr(dcdtar, 1, 6)||'********'||substr(dcdtar, 15, 2) AS TARJPRO,substr(DCDTAR, 1, 6), DMONT1,DCPAIS from BODEGATMP/FPTLFTVQNS where  DREFER&lt;&gt;''  ORDER BY DREFER,DCAPFL",IF(J7=TRUE,"select DFHTRA,DLGNET, DCDMSG, DFIDID, DTPTRA, DCDEST, DTERMI, DCDRES,DREFER, DCAPFL,substr(dcdtar, 1, 6)||'********'||substr(dcdtar, 15, 2) AS TARJPRO,substr(DCDTAR, 1, 6), DMONT1,DCPAIS from BODEGATMP/FPTLFTVQNS where  substr(DCDTAR, 1, 6)in ("&amp;B11&amp;")   ORDER BY DREFER,DCAPFL",IF(J8=TRUE,"select DFHTRA,DLGNET, DCDMSG, DFIDID, DTPTRA, DCDEST, DTERMI, DCDRES,DREFER, DCAPFL,substr(dcdtar, 1, 6)||'********'||substr(dcdtar, 15, 2) AS TARJPRO,substr(DCDTAR, 1, 6), DMONT1,DCPAIS from BODEGATMP/FPTLFTVQNS where DFIDID like '%"&amp;B4&amp;"%'  ORDER BY DREFER,DCAPFL","select DFHTRA,DLGNET, DCDMSG, DFIDID, DTPTRA, DCDEST, DTERMI, DCDRES,DREFER, DCAPFL,substr(dcdtar, 1, 6)||'********'||substr(dcdtar, 15, 2) AS TARJPRO,substr(DCDTAR, 1, 6), DMONT1,DCPAIS from BODEGATMP/FPTLFTVQNS ORDER BY DREFER,DCAPFL")))))))</f>
        <v>select DFHTRA,DLGNET, DCDMSG, DFIDID, DTPTRA, DCDEST, DTERMI, DCDRES,DREFER, DCAPFL,substr(dcdtar, 1, 6)||'********'||substr(dcdtar, 15, 2) AS TARJPRO,substr(DCDTAR, 1, 6), DMONT1,DCPAIS from BODEGATMP/FPTLFTVQNS where substr(DCDTAR, 1, 6)in ('409355') and DREFER&lt;&gt;''  ORDER BY DREFER,DCAPFL</v>
      </c>
      <c r="G6" s="305" t="s">
        <v>624</v>
      </c>
      <c r="I6" s="17" t="s">
        <v>314</v>
      </c>
      <c r="J6" s="36" t="b">
        <v>1</v>
      </c>
    </row>
    <row r="7" spans="1:10" ht="15" customHeight="1">
      <c r="A7" s="8" t="s">
        <v>117</v>
      </c>
      <c r="B7" s="6"/>
      <c r="C7" s="5"/>
      <c r="E7" s="427"/>
      <c r="F7" s="318"/>
      <c r="G7" s="305"/>
      <c r="I7" s="17" t="s">
        <v>312</v>
      </c>
      <c r="J7" s="36" t="b">
        <v>1</v>
      </c>
    </row>
    <row r="8" spans="1:10" ht="15" customHeight="1">
      <c r="A8" s="8" t="s">
        <v>119</v>
      </c>
      <c r="B8" s="6"/>
      <c r="C8" s="5"/>
      <c r="E8" s="427"/>
      <c r="F8" s="318"/>
      <c r="G8" s="305"/>
      <c r="I8" s="17" t="s">
        <v>313</v>
      </c>
      <c r="J8" s="36" t="b">
        <v>0</v>
      </c>
    </row>
    <row r="9" spans="1:10" ht="15.75" customHeight="1">
      <c r="A9" s="8" t="s">
        <v>120</v>
      </c>
      <c r="B9" s="6"/>
      <c r="C9" s="5"/>
      <c r="E9" s="427"/>
      <c r="F9" s="318"/>
      <c r="G9" s="305"/>
      <c r="I9" s="40"/>
    </row>
    <row r="10" spans="1:10">
      <c r="A10" s="8" t="s">
        <v>121</v>
      </c>
      <c r="B10" s="6"/>
      <c r="C10" s="5"/>
    </row>
    <row r="11" spans="1:10" ht="15.5">
      <c r="A11" s="8" t="s">
        <v>122</v>
      </c>
      <c r="B11" s="5" t="str">
        <f>IF(B7="","'"&amp;B6&amp;"'",IF(B8="","'"&amp;B6&amp;"',"&amp;"'"&amp;B7&amp;"'",IF(B9="","'"&amp;B6&amp;"',"&amp;"'"&amp;B7&amp;"',"&amp;"'"&amp;B8&amp;"'",IF(B10="","'"&amp;B6&amp;"',"&amp;"'"&amp;B7&amp;"',"&amp;"'"&amp;B8&amp;"',"&amp;"'"&amp;B9&amp;"'",IF(B10&lt;&gt;"","'"&amp;B6&amp;"',"&amp;"'"&amp;B7&amp;"',"&amp;"'"&amp;B8&amp;"',"&amp;"'"&amp;B9&amp;"',"&amp;"'"&amp;B10&amp;"'",)))))</f>
        <v>'409355'</v>
      </c>
      <c r="C11" s="5"/>
      <c r="E11" s="89" t="s">
        <v>456</v>
      </c>
      <c r="F11" s="17" t="s">
        <v>513</v>
      </c>
    </row>
    <row r="13" spans="1:10" ht="38.25" customHeight="1">
      <c r="E13" s="89" t="s">
        <v>457</v>
      </c>
      <c r="F13" s="28" t="str">
        <f>IF(OR(F11="TES2",F11="AMBOS"),"update  BODEGATMP/FPTLFYS SET DLGNET = 'PRO2', DFIDID = 'VISA'
 where DLGNET = 'TES2'","")</f>
        <v>update  BODEGATMP/FPTLFYS SET DLGNET = 'PRO2', DFIDID = 'VISA'
 where DLGNET = 'TES2'</v>
      </c>
    </row>
    <row r="14" spans="1:10">
      <c r="F14" s="15"/>
    </row>
    <row r="15" spans="1:10" ht="15.5">
      <c r="E15" s="89" t="s">
        <v>128</v>
      </c>
      <c r="F15" s="28" t="s">
        <v>128</v>
      </c>
    </row>
    <row r="17" spans="4:8" ht="29">
      <c r="D17" s="3"/>
      <c r="E17" s="90" t="s">
        <v>458</v>
      </c>
      <c r="F17" s="30" t="s">
        <v>512</v>
      </c>
    </row>
    <row r="19" spans="4:8" ht="15.5">
      <c r="E19" s="89" t="s">
        <v>460</v>
      </c>
      <c r="F19" s="17" t="s">
        <v>459</v>
      </c>
    </row>
    <row r="21" spans="4:8" ht="15.5">
      <c r="E21" s="89" t="s">
        <v>461</v>
      </c>
      <c r="F21" s="17" t="s">
        <v>461</v>
      </c>
    </row>
    <row r="23" spans="4:8" ht="15.5">
      <c r="E23" s="89" t="s">
        <v>465</v>
      </c>
      <c r="F23" s="17" t="s">
        <v>462</v>
      </c>
    </row>
    <row r="25" spans="4:8" ht="15.5">
      <c r="E25" s="89" t="s">
        <v>467</v>
      </c>
      <c r="F25" s="17" t="s">
        <v>466</v>
      </c>
    </row>
    <row r="27" spans="4:8" ht="15.5">
      <c r="E27" s="89" t="s">
        <v>468</v>
      </c>
      <c r="F27" s="17" t="s">
        <v>463</v>
      </c>
      <c r="G27" s="17">
        <v>1</v>
      </c>
      <c r="H27" s="17" t="s">
        <v>402</v>
      </c>
    </row>
    <row r="28" spans="4:8">
      <c r="G28" s="17">
        <v>2</v>
      </c>
      <c r="H28" s="17" t="s">
        <v>464</v>
      </c>
    </row>
    <row r="29" spans="4:8">
      <c r="G29" s="17"/>
      <c r="H29" s="17" t="s">
        <v>402</v>
      </c>
    </row>
  </sheetData>
  <mergeCells count="3">
    <mergeCell ref="F6:F9"/>
    <mergeCell ref="G6:G9"/>
    <mergeCell ref="E6:E9"/>
  </mergeCells>
  <dataValidations count="1">
    <dataValidation type="list" allowBlank="1" showInputMessage="1" showErrorMessage="1" sqref="B2" xr:uid="{FC49B2E7-97D9-485D-A9B5-44F650898F28}">
      <formula1>NOMBRE_BANCO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38" r:id="rId4" name="Check Box 10">
              <controlPr defaultSize="0" autoFill="0" autoLine="0" autoPict="0">
                <anchor moveWithCells="1">
                  <from>
                    <xdr:col>9</xdr:col>
                    <xdr:colOff>57150</xdr:colOff>
                    <xdr:row>5</xdr:row>
                    <xdr:rowOff>12700</xdr:rowOff>
                  </from>
                  <to>
                    <xdr:col>9</xdr:col>
                    <xdr:colOff>298450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5" name="Check Box 11">
              <controlPr defaultSize="0" autoFill="0" autoLine="0" autoPict="0">
                <anchor moveWithCells="1">
                  <from>
                    <xdr:col>9</xdr:col>
                    <xdr:colOff>69850</xdr:colOff>
                    <xdr:row>6</xdr:row>
                    <xdr:rowOff>0</xdr:rowOff>
                  </from>
                  <to>
                    <xdr:col>9</xdr:col>
                    <xdr:colOff>304800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6" name="Check Box 12">
              <controlPr defaultSize="0" autoFill="0" autoLine="0" autoPict="0">
                <anchor moveWithCells="1">
                  <from>
                    <xdr:col>9</xdr:col>
                    <xdr:colOff>69850</xdr:colOff>
                    <xdr:row>7</xdr:row>
                    <xdr:rowOff>0</xdr:rowOff>
                  </from>
                  <to>
                    <xdr:col>9</xdr:col>
                    <xdr:colOff>304800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6A19EBD-F918-4A5C-9694-F6AA6D990E95}">
          <x14:formula1>
            <xm:f>'Bancos y listas'!$M$2:$M$4</xm:f>
          </x14:formula1>
          <xm:sqref>F11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F6F25-812C-49D8-8045-93DBFA29118E}">
  <sheetPr codeName="Hoja5">
    <tabColor theme="8" tint="0.39997558519241921"/>
  </sheetPr>
  <dimension ref="A1:G365"/>
  <sheetViews>
    <sheetView topLeftCell="A172" workbookViewId="0">
      <selection activeCell="B174" sqref="A174:B174"/>
    </sheetView>
  </sheetViews>
  <sheetFormatPr baseColWidth="10" defaultRowHeight="14.5"/>
  <cols>
    <col min="1" max="1" width="11.453125" style="33"/>
    <col min="7" max="7" width="16.1796875" bestFit="1" customWidth="1"/>
  </cols>
  <sheetData>
    <row r="1" spans="1:2">
      <c r="A1">
        <v>20230101</v>
      </c>
      <c r="B1">
        <v>23001</v>
      </c>
    </row>
    <row r="2" spans="1:2">
      <c r="A2">
        <v>20230102</v>
      </c>
      <c r="B2">
        <v>23002</v>
      </c>
    </row>
    <row r="3" spans="1:2">
      <c r="A3">
        <v>20230103</v>
      </c>
      <c r="B3">
        <v>23003</v>
      </c>
    </row>
    <row r="4" spans="1:2">
      <c r="A4">
        <v>20230104</v>
      </c>
      <c r="B4">
        <v>23004</v>
      </c>
    </row>
    <row r="5" spans="1:2">
      <c r="A5">
        <v>20230105</v>
      </c>
      <c r="B5">
        <v>23005</v>
      </c>
    </row>
    <row r="6" spans="1:2">
      <c r="A6">
        <v>20230106</v>
      </c>
      <c r="B6">
        <v>23006</v>
      </c>
    </row>
    <row r="7" spans="1:2">
      <c r="A7">
        <v>20230107</v>
      </c>
      <c r="B7">
        <v>23007</v>
      </c>
    </row>
    <row r="8" spans="1:2">
      <c r="A8">
        <v>20230108</v>
      </c>
      <c r="B8">
        <v>23008</v>
      </c>
    </row>
    <row r="9" spans="1:2">
      <c r="A9">
        <v>20230109</v>
      </c>
      <c r="B9">
        <v>23009</v>
      </c>
    </row>
    <row r="10" spans="1:2">
      <c r="A10">
        <v>20230110</v>
      </c>
      <c r="B10">
        <v>23010</v>
      </c>
    </row>
    <row r="11" spans="1:2">
      <c r="A11">
        <v>20230111</v>
      </c>
      <c r="B11">
        <v>23011</v>
      </c>
    </row>
    <row r="12" spans="1:2">
      <c r="A12">
        <v>20230112</v>
      </c>
      <c r="B12">
        <v>23012</v>
      </c>
    </row>
    <row r="13" spans="1:2">
      <c r="A13">
        <v>20230113</v>
      </c>
      <c r="B13">
        <v>23013</v>
      </c>
    </row>
    <row r="14" spans="1:2">
      <c r="A14">
        <v>20230114</v>
      </c>
      <c r="B14">
        <v>23014</v>
      </c>
    </row>
    <row r="15" spans="1:2">
      <c r="A15">
        <v>20230115</v>
      </c>
      <c r="B15">
        <v>23015</v>
      </c>
    </row>
    <row r="16" spans="1:2">
      <c r="A16">
        <v>20230116</v>
      </c>
      <c r="B16">
        <v>23016</v>
      </c>
    </row>
    <row r="17" spans="1:2">
      <c r="A17">
        <v>20230117</v>
      </c>
      <c r="B17">
        <v>23017</v>
      </c>
    </row>
    <row r="18" spans="1:2">
      <c r="A18">
        <v>20230118</v>
      </c>
      <c r="B18">
        <v>23018</v>
      </c>
    </row>
    <row r="19" spans="1:2">
      <c r="A19">
        <v>20230119</v>
      </c>
      <c r="B19">
        <v>23019</v>
      </c>
    </row>
    <row r="20" spans="1:2">
      <c r="A20">
        <v>20230120</v>
      </c>
      <c r="B20">
        <v>23020</v>
      </c>
    </row>
    <row r="21" spans="1:2">
      <c r="A21">
        <v>20230121</v>
      </c>
      <c r="B21">
        <v>23021</v>
      </c>
    </row>
    <row r="22" spans="1:2">
      <c r="A22">
        <v>20230122</v>
      </c>
      <c r="B22">
        <v>23022</v>
      </c>
    </row>
    <row r="23" spans="1:2">
      <c r="A23">
        <v>20230123</v>
      </c>
      <c r="B23">
        <v>23023</v>
      </c>
    </row>
    <row r="24" spans="1:2">
      <c r="A24">
        <v>20230124</v>
      </c>
      <c r="B24">
        <v>23024</v>
      </c>
    </row>
    <row r="25" spans="1:2">
      <c r="A25">
        <v>20230125</v>
      </c>
      <c r="B25">
        <v>23025</v>
      </c>
    </row>
    <row r="26" spans="1:2">
      <c r="A26">
        <v>20230126</v>
      </c>
      <c r="B26">
        <v>23026</v>
      </c>
    </row>
    <row r="27" spans="1:2">
      <c r="A27">
        <v>20230127</v>
      </c>
      <c r="B27">
        <v>23027</v>
      </c>
    </row>
    <row r="28" spans="1:2">
      <c r="A28">
        <v>20230128</v>
      </c>
      <c r="B28">
        <v>23028</v>
      </c>
    </row>
    <row r="29" spans="1:2">
      <c r="A29">
        <v>20230129</v>
      </c>
      <c r="B29">
        <v>23029</v>
      </c>
    </row>
    <row r="30" spans="1:2">
      <c r="A30">
        <v>20230130</v>
      </c>
      <c r="B30">
        <v>23030</v>
      </c>
    </row>
    <row r="31" spans="1:2">
      <c r="A31">
        <v>20230131</v>
      </c>
      <c r="B31">
        <v>23031</v>
      </c>
    </row>
    <row r="32" spans="1:2">
      <c r="A32">
        <v>20230201</v>
      </c>
      <c r="B32">
        <v>23032</v>
      </c>
    </row>
    <row r="33" spans="1:2">
      <c r="A33">
        <v>20230202</v>
      </c>
      <c r="B33">
        <v>23033</v>
      </c>
    </row>
    <row r="34" spans="1:2">
      <c r="A34">
        <v>20230203</v>
      </c>
      <c r="B34">
        <v>23034</v>
      </c>
    </row>
    <row r="35" spans="1:2">
      <c r="A35">
        <v>20230204</v>
      </c>
      <c r="B35">
        <v>23035</v>
      </c>
    </row>
    <row r="36" spans="1:2">
      <c r="A36">
        <v>20230205</v>
      </c>
      <c r="B36">
        <v>23036</v>
      </c>
    </row>
    <row r="37" spans="1:2">
      <c r="A37">
        <v>20230206</v>
      </c>
      <c r="B37">
        <v>23037</v>
      </c>
    </row>
    <row r="38" spans="1:2">
      <c r="A38">
        <v>20230207</v>
      </c>
      <c r="B38">
        <v>23038</v>
      </c>
    </row>
    <row r="39" spans="1:2">
      <c r="A39">
        <v>20230208</v>
      </c>
      <c r="B39">
        <v>23039</v>
      </c>
    </row>
    <row r="40" spans="1:2">
      <c r="A40">
        <v>20230209</v>
      </c>
      <c r="B40">
        <v>23040</v>
      </c>
    </row>
    <row r="41" spans="1:2">
      <c r="A41">
        <v>20230210</v>
      </c>
      <c r="B41">
        <v>23041</v>
      </c>
    </row>
    <row r="42" spans="1:2">
      <c r="A42">
        <v>20230211</v>
      </c>
      <c r="B42">
        <v>23042</v>
      </c>
    </row>
    <row r="43" spans="1:2">
      <c r="A43">
        <v>20230212</v>
      </c>
      <c r="B43">
        <v>23043</v>
      </c>
    </row>
    <row r="44" spans="1:2">
      <c r="A44">
        <v>20230213</v>
      </c>
      <c r="B44">
        <v>23044</v>
      </c>
    </row>
    <row r="45" spans="1:2">
      <c r="A45">
        <v>20230214</v>
      </c>
      <c r="B45">
        <v>23045</v>
      </c>
    </row>
    <row r="46" spans="1:2">
      <c r="A46">
        <v>20230215</v>
      </c>
      <c r="B46">
        <v>23046</v>
      </c>
    </row>
    <row r="47" spans="1:2">
      <c r="A47">
        <v>20230216</v>
      </c>
      <c r="B47">
        <v>23047</v>
      </c>
    </row>
    <row r="48" spans="1:2">
      <c r="A48">
        <v>20230217</v>
      </c>
      <c r="B48">
        <v>23048</v>
      </c>
    </row>
    <row r="49" spans="1:2">
      <c r="A49">
        <v>20230218</v>
      </c>
      <c r="B49">
        <v>23049</v>
      </c>
    </row>
    <row r="50" spans="1:2">
      <c r="A50">
        <v>20230219</v>
      </c>
      <c r="B50">
        <v>23050</v>
      </c>
    </row>
    <row r="51" spans="1:2">
      <c r="A51">
        <v>20230220</v>
      </c>
      <c r="B51">
        <v>23051</v>
      </c>
    </row>
    <row r="52" spans="1:2">
      <c r="A52">
        <v>20230221</v>
      </c>
      <c r="B52">
        <v>23052</v>
      </c>
    </row>
    <row r="53" spans="1:2">
      <c r="A53">
        <v>20230222</v>
      </c>
      <c r="B53">
        <v>23053</v>
      </c>
    </row>
    <row r="54" spans="1:2">
      <c r="A54">
        <v>20230223</v>
      </c>
      <c r="B54">
        <v>23054</v>
      </c>
    </row>
    <row r="55" spans="1:2">
      <c r="A55">
        <v>20230224</v>
      </c>
      <c r="B55">
        <v>23055</v>
      </c>
    </row>
    <row r="56" spans="1:2">
      <c r="A56">
        <v>20230225</v>
      </c>
      <c r="B56">
        <v>23056</v>
      </c>
    </row>
    <row r="57" spans="1:2">
      <c r="A57">
        <v>20230226</v>
      </c>
      <c r="B57">
        <v>23057</v>
      </c>
    </row>
    <row r="58" spans="1:2">
      <c r="A58">
        <v>20230227</v>
      </c>
      <c r="B58">
        <v>23058</v>
      </c>
    </row>
    <row r="59" spans="1:2">
      <c r="A59">
        <v>20230228</v>
      </c>
      <c r="B59">
        <v>23059</v>
      </c>
    </row>
    <row r="60" spans="1:2">
      <c r="A60">
        <v>20230301</v>
      </c>
      <c r="B60">
        <v>23060</v>
      </c>
    </row>
    <row r="61" spans="1:2">
      <c r="A61">
        <v>20230302</v>
      </c>
      <c r="B61">
        <v>23061</v>
      </c>
    </row>
    <row r="62" spans="1:2">
      <c r="A62">
        <v>20230303</v>
      </c>
      <c r="B62">
        <v>23062</v>
      </c>
    </row>
    <row r="63" spans="1:2">
      <c r="A63">
        <v>20230304</v>
      </c>
      <c r="B63">
        <v>23063</v>
      </c>
    </row>
    <row r="64" spans="1:2">
      <c r="A64">
        <v>20230305</v>
      </c>
      <c r="B64">
        <v>23064</v>
      </c>
    </row>
    <row r="65" spans="1:2">
      <c r="A65">
        <v>20230306</v>
      </c>
      <c r="B65">
        <v>23065</v>
      </c>
    </row>
    <row r="66" spans="1:2">
      <c r="A66">
        <v>20230307</v>
      </c>
      <c r="B66">
        <v>23066</v>
      </c>
    </row>
    <row r="67" spans="1:2">
      <c r="A67">
        <v>20230308</v>
      </c>
      <c r="B67">
        <v>23067</v>
      </c>
    </row>
    <row r="68" spans="1:2">
      <c r="A68">
        <v>20230309</v>
      </c>
      <c r="B68">
        <v>23068</v>
      </c>
    </row>
    <row r="69" spans="1:2">
      <c r="A69">
        <v>20230310</v>
      </c>
      <c r="B69">
        <v>23069</v>
      </c>
    </row>
    <row r="70" spans="1:2">
      <c r="A70">
        <v>20230311</v>
      </c>
      <c r="B70">
        <v>23070</v>
      </c>
    </row>
    <row r="71" spans="1:2">
      <c r="A71">
        <v>20230312</v>
      </c>
      <c r="B71">
        <v>23071</v>
      </c>
    </row>
    <row r="72" spans="1:2">
      <c r="A72">
        <v>20230313</v>
      </c>
      <c r="B72">
        <v>23072</v>
      </c>
    </row>
    <row r="73" spans="1:2">
      <c r="A73">
        <v>20230314</v>
      </c>
      <c r="B73">
        <v>23073</v>
      </c>
    </row>
    <row r="74" spans="1:2">
      <c r="A74">
        <v>20230315</v>
      </c>
      <c r="B74">
        <v>23074</v>
      </c>
    </row>
    <row r="75" spans="1:2">
      <c r="A75">
        <v>20230316</v>
      </c>
      <c r="B75">
        <v>23075</v>
      </c>
    </row>
    <row r="76" spans="1:2">
      <c r="A76">
        <v>20230317</v>
      </c>
      <c r="B76">
        <v>23076</v>
      </c>
    </row>
    <row r="77" spans="1:2">
      <c r="A77">
        <v>20230318</v>
      </c>
      <c r="B77">
        <v>23077</v>
      </c>
    </row>
    <row r="78" spans="1:2">
      <c r="A78">
        <v>20230319</v>
      </c>
      <c r="B78">
        <v>23078</v>
      </c>
    </row>
    <row r="79" spans="1:2">
      <c r="A79">
        <v>20230320</v>
      </c>
      <c r="B79">
        <v>23079</v>
      </c>
    </row>
    <row r="80" spans="1:2">
      <c r="A80">
        <v>20230321</v>
      </c>
      <c r="B80">
        <v>23080</v>
      </c>
    </row>
    <row r="81" spans="1:2">
      <c r="A81">
        <v>20230322</v>
      </c>
      <c r="B81">
        <v>23081</v>
      </c>
    </row>
    <row r="82" spans="1:2">
      <c r="A82">
        <v>20230323</v>
      </c>
      <c r="B82">
        <v>23082</v>
      </c>
    </row>
    <row r="83" spans="1:2">
      <c r="A83">
        <v>20230324</v>
      </c>
      <c r="B83">
        <v>23083</v>
      </c>
    </row>
    <row r="84" spans="1:2">
      <c r="A84">
        <v>20230325</v>
      </c>
      <c r="B84">
        <v>23084</v>
      </c>
    </row>
    <row r="85" spans="1:2">
      <c r="A85">
        <v>20230326</v>
      </c>
      <c r="B85">
        <v>23085</v>
      </c>
    </row>
    <row r="86" spans="1:2">
      <c r="A86">
        <v>20230327</v>
      </c>
      <c r="B86">
        <v>23086</v>
      </c>
    </row>
    <row r="87" spans="1:2">
      <c r="A87">
        <v>20230328</v>
      </c>
      <c r="B87">
        <v>23087</v>
      </c>
    </row>
    <row r="88" spans="1:2">
      <c r="A88">
        <v>20230329</v>
      </c>
      <c r="B88">
        <v>23088</v>
      </c>
    </row>
    <row r="89" spans="1:2">
      <c r="A89">
        <v>20230330</v>
      </c>
      <c r="B89">
        <v>23089</v>
      </c>
    </row>
    <row r="90" spans="1:2">
      <c r="A90">
        <v>20230331</v>
      </c>
      <c r="B90">
        <v>23090</v>
      </c>
    </row>
    <row r="91" spans="1:2">
      <c r="A91">
        <v>20230401</v>
      </c>
      <c r="B91">
        <v>23091</v>
      </c>
    </row>
    <row r="92" spans="1:2">
      <c r="A92">
        <v>20230402</v>
      </c>
      <c r="B92">
        <v>23092</v>
      </c>
    </row>
    <row r="93" spans="1:2">
      <c r="A93">
        <v>20230403</v>
      </c>
      <c r="B93">
        <v>23093</v>
      </c>
    </row>
    <row r="94" spans="1:2">
      <c r="A94">
        <v>20230404</v>
      </c>
      <c r="B94">
        <v>23094</v>
      </c>
    </row>
    <row r="95" spans="1:2">
      <c r="A95">
        <v>20230405</v>
      </c>
      <c r="B95">
        <v>23095</v>
      </c>
    </row>
    <row r="96" spans="1:2">
      <c r="A96">
        <v>20230406</v>
      </c>
      <c r="B96">
        <v>23096</v>
      </c>
    </row>
    <row r="97" spans="1:2">
      <c r="A97">
        <v>20230407</v>
      </c>
      <c r="B97">
        <v>23097</v>
      </c>
    </row>
    <row r="98" spans="1:2">
      <c r="A98">
        <v>20230408</v>
      </c>
      <c r="B98">
        <v>23098</v>
      </c>
    </row>
    <row r="99" spans="1:2">
      <c r="A99">
        <v>20230409</v>
      </c>
      <c r="B99">
        <v>23099</v>
      </c>
    </row>
    <row r="100" spans="1:2">
      <c r="A100">
        <v>20230410</v>
      </c>
      <c r="B100">
        <v>23100</v>
      </c>
    </row>
    <row r="101" spans="1:2">
      <c r="A101">
        <v>20230411</v>
      </c>
      <c r="B101">
        <v>23101</v>
      </c>
    </row>
    <row r="102" spans="1:2">
      <c r="A102">
        <v>20230412</v>
      </c>
      <c r="B102">
        <v>23102</v>
      </c>
    </row>
    <row r="103" spans="1:2">
      <c r="A103">
        <v>20230413</v>
      </c>
      <c r="B103">
        <v>23103</v>
      </c>
    </row>
    <row r="104" spans="1:2">
      <c r="A104">
        <v>20230414</v>
      </c>
      <c r="B104">
        <v>23104</v>
      </c>
    </row>
    <row r="105" spans="1:2">
      <c r="A105">
        <v>20230415</v>
      </c>
      <c r="B105">
        <v>23105</v>
      </c>
    </row>
    <row r="106" spans="1:2">
      <c r="A106">
        <v>20230416</v>
      </c>
      <c r="B106">
        <v>23106</v>
      </c>
    </row>
    <row r="107" spans="1:2">
      <c r="A107">
        <v>20230417</v>
      </c>
      <c r="B107">
        <v>23107</v>
      </c>
    </row>
    <row r="108" spans="1:2">
      <c r="A108">
        <v>20230418</v>
      </c>
      <c r="B108">
        <v>23108</v>
      </c>
    </row>
    <row r="109" spans="1:2">
      <c r="A109">
        <v>20230419</v>
      </c>
      <c r="B109">
        <v>23109</v>
      </c>
    </row>
    <row r="110" spans="1:2">
      <c r="A110">
        <v>20230420</v>
      </c>
      <c r="B110">
        <v>23110</v>
      </c>
    </row>
    <row r="111" spans="1:2">
      <c r="A111">
        <v>20230421</v>
      </c>
      <c r="B111">
        <v>23111</v>
      </c>
    </row>
    <row r="112" spans="1:2">
      <c r="A112">
        <v>20230422</v>
      </c>
      <c r="B112">
        <v>23112</v>
      </c>
    </row>
    <row r="113" spans="1:2">
      <c r="A113">
        <v>20230423</v>
      </c>
      <c r="B113">
        <v>23113</v>
      </c>
    </row>
    <row r="114" spans="1:2">
      <c r="A114">
        <v>20230424</v>
      </c>
      <c r="B114">
        <v>23114</v>
      </c>
    </row>
    <row r="115" spans="1:2">
      <c r="A115">
        <v>20230425</v>
      </c>
      <c r="B115">
        <v>23115</v>
      </c>
    </row>
    <row r="116" spans="1:2">
      <c r="A116">
        <v>20230426</v>
      </c>
      <c r="B116">
        <v>23116</v>
      </c>
    </row>
    <row r="117" spans="1:2">
      <c r="A117">
        <v>20230427</v>
      </c>
      <c r="B117">
        <v>23117</v>
      </c>
    </row>
    <row r="118" spans="1:2">
      <c r="A118">
        <v>20230428</v>
      </c>
      <c r="B118">
        <v>23118</v>
      </c>
    </row>
    <row r="119" spans="1:2">
      <c r="A119">
        <v>20230429</v>
      </c>
      <c r="B119">
        <v>23119</v>
      </c>
    </row>
    <row r="120" spans="1:2">
      <c r="A120">
        <v>20230430</v>
      </c>
      <c r="B120">
        <v>23120</v>
      </c>
    </row>
    <row r="121" spans="1:2">
      <c r="A121">
        <v>20230501</v>
      </c>
      <c r="B121">
        <v>23121</v>
      </c>
    </row>
    <row r="122" spans="1:2">
      <c r="A122">
        <v>20230502</v>
      </c>
      <c r="B122">
        <v>23122</v>
      </c>
    </row>
    <row r="123" spans="1:2">
      <c r="A123">
        <v>20230503</v>
      </c>
      <c r="B123">
        <v>23123</v>
      </c>
    </row>
    <row r="124" spans="1:2">
      <c r="A124">
        <v>20230504</v>
      </c>
      <c r="B124">
        <v>23124</v>
      </c>
    </row>
    <row r="125" spans="1:2">
      <c r="A125">
        <v>20230505</v>
      </c>
      <c r="B125">
        <v>23125</v>
      </c>
    </row>
    <row r="126" spans="1:2">
      <c r="A126">
        <v>20230506</v>
      </c>
      <c r="B126">
        <v>23126</v>
      </c>
    </row>
    <row r="127" spans="1:2">
      <c r="A127">
        <v>20230507</v>
      </c>
      <c r="B127">
        <v>23127</v>
      </c>
    </row>
    <row r="128" spans="1:2">
      <c r="A128">
        <v>20230508</v>
      </c>
      <c r="B128">
        <v>23128</v>
      </c>
    </row>
    <row r="129" spans="1:2">
      <c r="A129">
        <v>20230509</v>
      </c>
      <c r="B129">
        <v>23129</v>
      </c>
    </row>
    <row r="130" spans="1:2">
      <c r="A130">
        <v>20230510</v>
      </c>
      <c r="B130">
        <v>23130</v>
      </c>
    </row>
    <row r="131" spans="1:2">
      <c r="A131">
        <v>20230511</v>
      </c>
      <c r="B131">
        <v>23131</v>
      </c>
    </row>
    <row r="132" spans="1:2">
      <c r="A132">
        <v>20230512</v>
      </c>
      <c r="B132">
        <v>23132</v>
      </c>
    </row>
    <row r="133" spans="1:2">
      <c r="A133">
        <v>20230513</v>
      </c>
      <c r="B133">
        <v>23133</v>
      </c>
    </row>
    <row r="134" spans="1:2">
      <c r="A134">
        <v>20230514</v>
      </c>
      <c r="B134">
        <v>23134</v>
      </c>
    </row>
    <row r="135" spans="1:2">
      <c r="A135">
        <v>20230515</v>
      </c>
      <c r="B135">
        <v>23135</v>
      </c>
    </row>
    <row r="136" spans="1:2">
      <c r="A136">
        <v>20230516</v>
      </c>
      <c r="B136">
        <v>23136</v>
      </c>
    </row>
    <row r="137" spans="1:2">
      <c r="A137">
        <v>20230517</v>
      </c>
      <c r="B137">
        <v>23137</v>
      </c>
    </row>
    <row r="138" spans="1:2">
      <c r="A138">
        <v>20230518</v>
      </c>
      <c r="B138">
        <v>23138</v>
      </c>
    </row>
    <row r="139" spans="1:2">
      <c r="A139">
        <v>20230519</v>
      </c>
      <c r="B139">
        <v>23139</v>
      </c>
    </row>
    <row r="140" spans="1:2">
      <c r="A140">
        <v>20230520</v>
      </c>
      <c r="B140">
        <v>23140</v>
      </c>
    </row>
    <row r="141" spans="1:2">
      <c r="A141">
        <v>20230521</v>
      </c>
      <c r="B141">
        <v>23141</v>
      </c>
    </row>
    <row r="142" spans="1:2">
      <c r="A142">
        <v>20230522</v>
      </c>
      <c r="B142">
        <v>23142</v>
      </c>
    </row>
    <row r="143" spans="1:2">
      <c r="A143">
        <v>20230523</v>
      </c>
      <c r="B143">
        <v>23143</v>
      </c>
    </row>
    <row r="144" spans="1:2">
      <c r="A144">
        <v>20230524</v>
      </c>
      <c r="B144">
        <v>23144</v>
      </c>
    </row>
    <row r="145" spans="1:2">
      <c r="A145">
        <v>20230525</v>
      </c>
      <c r="B145">
        <v>23145</v>
      </c>
    </row>
    <row r="146" spans="1:2">
      <c r="A146">
        <v>20230526</v>
      </c>
      <c r="B146">
        <v>23146</v>
      </c>
    </row>
    <row r="147" spans="1:2">
      <c r="A147">
        <v>20230527</v>
      </c>
      <c r="B147">
        <v>23147</v>
      </c>
    </row>
    <row r="148" spans="1:2">
      <c r="A148">
        <v>20230528</v>
      </c>
      <c r="B148">
        <v>23148</v>
      </c>
    </row>
    <row r="149" spans="1:2">
      <c r="A149">
        <v>20230529</v>
      </c>
      <c r="B149">
        <v>23149</v>
      </c>
    </row>
    <row r="150" spans="1:2">
      <c r="A150">
        <v>20230530</v>
      </c>
      <c r="B150">
        <v>23150</v>
      </c>
    </row>
    <row r="151" spans="1:2">
      <c r="A151">
        <v>20230531</v>
      </c>
      <c r="B151">
        <v>23151</v>
      </c>
    </row>
    <row r="152" spans="1:2">
      <c r="A152">
        <v>20230601</v>
      </c>
      <c r="B152">
        <v>23152</v>
      </c>
    </row>
    <row r="153" spans="1:2">
      <c r="A153">
        <v>20230602</v>
      </c>
      <c r="B153">
        <v>23153</v>
      </c>
    </row>
    <row r="154" spans="1:2">
      <c r="A154">
        <v>20230603</v>
      </c>
      <c r="B154">
        <v>23154</v>
      </c>
    </row>
    <row r="155" spans="1:2">
      <c r="A155">
        <v>20230604</v>
      </c>
      <c r="B155">
        <v>23155</v>
      </c>
    </row>
    <row r="156" spans="1:2">
      <c r="A156">
        <v>20230605</v>
      </c>
      <c r="B156">
        <v>23156</v>
      </c>
    </row>
    <row r="157" spans="1:2">
      <c r="A157">
        <v>20230606</v>
      </c>
      <c r="B157">
        <v>23157</v>
      </c>
    </row>
    <row r="158" spans="1:2">
      <c r="A158">
        <v>20230607</v>
      </c>
      <c r="B158">
        <v>23158</v>
      </c>
    </row>
    <row r="159" spans="1:2">
      <c r="A159">
        <v>20230608</v>
      </c>
      <c r="B159">
        <v>23159</v>
      </c>
    </row>
    <row r="160" spans="1:2">
      <c r="A160">
        <v>20230609</v>
      </c>
      <c r="B160">
        <v>23160</v>
      </c>
    </row>
    <row r="161" spans="1:2">
      <c r="A161">
        <v>20230610</v>
      </c>
      <c r="B161">
        <v>23161</v>
      </c>
    </row>
    <row r="162" spans="1:2">
      <c r="A162">
        <v>20230611</v>
      </c>
      <c r="B162">
        <v>23162</v>
      </c>
    </row>
    <row r="163" spans="1:2">
      <c r="A163">
        <v>20230612</v>
      </c>
      <c r="B163">
        <v>23163</v>
      </c>
    </row>
    <row r="164" spans="1:2">
      <c r="A164">
        <v>20230613</v>
      </c>
      <c r="B164">
        <v>23164</v>
      </c>
    </row>
    <row r="165" spans="1:2">
      <c r="A165">
        <v>20230614</v>
      </c>
      <c r="B165">
        <v>23165</v>
      </c>
    </row>
    <row r="166" spans="1:2">
      <c r="A166">
        <v>20230615</v>
      </c>
      <c r="B166">
        <v>23166</v>
      </c>
    </row>
    <row r="167" spans="1:2">
      <c r="A167">
        <v>20230616</v>
      </c>
      <c r="B167">
        <v>23167</v>
      </c>
    </row>
    <row r="168" spans="1:2">
      <c r="A168">
        <v>20230617</v>
      </c>
      <c r="B168">
        <v>23168</v>
      </c>
    </row>
    <row r="169" spans="1:2">
      <c r="A169">
        <v>20230618</v>
      </c>
      <c r="B169">
        <v>23169</v>
      </c>
    </row>
    <row r="170" spans="1:2">
      <c r="A170">
        <v>20230619</v>
      </c>
      <c r="B170">
        <v>23170</v>
      </c>
    </row>
    <row r="171" spans="1:2">
      <c r="A171">
        <v>20230620</v>
      </c>
      <c r="B171">
        <v>23171</v>
      </c>
    </row>
    <row r="172" spans="1:2">
      <c r="A172">
        <v>20230621</v>
      </c>
      <c r="B172">
        <v>23172</v>
      </c>
    </row>
    <row r="173" spans="1:2">
      <c r="A173">
        <v>20230622</v>
      </c>
      <c r="B173">
        <v>23173</v>
      </c>
    </row>
    <row r="174" spans="1:2">
      <c r="A174">
        <v>20230623</v>
      </c>
      <c r="B174">
        <v>23174</v>
      </c>
    </row>
    <row r="175" spans="1:2">
      <c r="A175">
        <v>20230624</v>
      </c>
      <c r="B175">
        <v>23175</v>
      </c>
    </row>
    <row r="176" spans="1:2">
      <c r="A176">
        <v>20230625</v>
      </c>
      <c r="B176">
        <v>23176</v>
      </c>
    </row>
    <row r="177" spans="1:2">
      <c r="A177">
        <v>20230626</v>
      </c>
      <c r="B177">
        <v>23177</v>
      </c>
    </row>
    <row r="178" spans="1:2">
      <c r="A178">
        <v>20230627</v>
      </c>
      <c r="B178">
        <v>23178</v>
      </c>
    </row>
    <row r="179" spans="1:2">
      <c r="A179">
        <v>20230628</v>
      </c>
      <c r="B179">
        <v>23179</v>
      </c>
    </row>
    <row r="180" spans="1:2">
      <c r="A180">
        <v>20230629</v>
      </c>
      <c r="B180">
        <v>23180</v>
      </c>
    </row>
    <row r="181" spans="1:2">
      <c r="A181">
        <v>20230630</v>
      </c>
      <c r="B181">
        <v>23181</v>
      </c>
    </row>
    <row r="182" spans="1:2">
      <c r="A182">
        <v>20230701</v>
      </c>
      <c r="B182">
        <v>23182</v>
      </c>
    </row>
    <row r="183" spans="1:2">
      <c r="A183">
        <v>20230702</v>
      </c>
      <c r="B183">
        <v>23183</v>
      </c>
    </row>
    <row r="184" spans="1:2">
      <c r="A184">
        <v>20230703</v>
      </c>
      <c r="B184">
        <v>23184</v>
      </c>
    </row>
    <row r="185" spans="1:2">
      <c r="A185">
        <v>20230704</v>
      </c>
      <c r="B185">
        <v>23185</v>
      </c>
    </row>
    <row r="186" spans="1:2">
      <c r="A186">
        <v>20230705</v>
      </c>
      <c r="B186">
        <v>23186</v>
      </c>
    </row>
    <row r="187" spans="1:2">
      <c r="A187">
        <v>20230706</v>
      </c>
      <c r="B187">
        <v>23187</v>
      </c>
    </row>
    <row r="188" spans="1:2">
      <c r="A188">
        <v>20230707</v>
      </c>
      <c r="B188">
        <v>23188</v>
      </c>
    </row>
    <row r="189" spans="1:2">
      <c r="A189">
        <v>20230708</v>
      </c>
      <c r="B189">
        <v>23189</v>
      </c>
    </row>
    <row r="190" spans="1:2">
      <c r="A190">
        <v>20230709</v>
      </c>
      <c r="B190">
        <v>23190</v>
      </c>
    </row>
    <row r="191" spans="1:2">
      <c r="A191">
        <v>20230710</v>
      </c>
      <c r="B191">
        <v>23191</v>
      </c>
    </row>
    <row r="192" spans="1:2">
      <c r="A192">
        <v>20230711</v>
      </c>
      <c r="B192">
        <v>23192</v>
      </c>
    </row>
    <row r="193" spans="1:2">
      <c r="A193">
        <v>20230712</v>
      </c>
      <c r="B193">
        <v>23193</v>
      </c>
    </row>
    <row r="194" spans="1:2">
      <c r="A194">
        <v>20230713</v>
      </c>
      <c r="B194">
        <v>23194</v>
      </c>
    </row>
    <row r="195" spans="1:2">
      <c r="A195">
        <v>20230714</v>
      </c>
      <c r="B195">
        <v>23195</v>
      </c>
    </row>
    <row r="196" spans="1:2">
      <c r="A196">
        <v>20230715</v>
      </c>
      <c r="B196">
        <v>23196</v>
      </c>
    </row>
    <row r="197" spans="1:2">
      <c r="A197">
        <v>20230716</v>
      </c>
      <c r="B197">
        <v>23197</v>
      </c>
    </row>
    <row r="198" spans="1:2">
      <c r="A198">
        <v>20230717</v>
      </c>
      <c r="B198">
        <v>23198</v>
      </c>
    </row>
    <row r="199" spans="1:2">
      <c r="A199">
        <v>20230718</v>
      </c>
      <c r="B199">
        <v>23199</v>
      </c>
    </row>
    <row r="200" spans="1:2">
      <c r="A200">
        <v>20230719</v>
      </c>
      <c r="B200">
        <v>23200</v>
      </c>
    </row>
    <row r="201" spans="1:2">
      <c r="A201">
        <v>20230720</v>
      </c>
      <c r="B201">
        <v>23201</v>
      </c>
    </row>
    <row r="202" spans="1:2">
      <c r="A202">
        <v>20230721</v>
      </c>
      <c r="B202">
        <v>23202</v>
      </c>
    </row>
    <row r="203" spans="1:2">
      <c r="A203">
        <v>20230722</v>
      </c>
      <c r="B203">
        <v>23203</v>
      </c>
    </row>
    <row r="204" spans="1:2">
      <c r="A204">
        <v>20230723</v>
      </c>
      <c r="B204">
        <v>23204</v>
      </c>
    </row>
    <row r="205" spans="1:2">
      <c r="A205">
        <v>20230724</v>
      </c>
      <c r="B205">
        <v>23205</v>
      </c>
    </row>
    <row r="206" spans="1:2">
      <c r="A206">
        <v>20230725</v>
      </c>
      <c r="B206">
        <v>23206</v>
      </c>
    </row>
    <row r="207" spans="1:2">
      <c r="A207">
        <v>20230726</v>
      </c>
      <c r="B207">
        <v>23207</v>
      </c>
    </row>
    <row r="208" spans="1:2">
      <c r="A208">
        <v>20230727</v>
      </c>
      <c r="B208">
        <v>23208</v>
      </c>
    </row>
    <row r="209" spans="1:7">
      <c r="A209">
        <v>20230728</v>
      </c>
      <c r="B209">
        <v>23209</v>
      </c>
    </row>
    <row r="210" spans="1:7">
      <c r="A210">
        <v>20230729</v>
      </c>
      <c r="B210">
        <v>23210</v>
      </c>
    </row>
    <row r="211" spans="1:7">
      <c r="A211">
        <v>20230730</v>
      </c>
      <c r="B211">
        <v>23211</v>
      </c>
    </row>
    <row r="212" spans="1:7">
      <c r="A212">
        <v>20230731</v>
      </c>
      <c r="B212">
        <v>23212</v>
      </c>
    </row>
    <row r="213" spans="1:7">
      <c r="A213">
        <v>20230801</v>
      </c>
      <c r="B213">
        <v>23213</v>
      </c>
    </row>
    <row r="214" spans="1:7">
      <c r="A214">
        <v>20230802</v>
      </c>
      <c r="B214">
        <v>23214</v>
      </c>
    </row>
    <row r="215" spans="1:7">
      <c r="A215">
        <v>20230803</v>
      </c>
      <c r="B215">
        <v>23215</v>
      </c>
    </row>
    <row r="216" spans="1:7">
      <c r="A216">
        <v>20230804</v>
      </c>
      <c r="B216">
        <v>23216</v>
      </c>
    </row>
    <row r="217" spans="1:7">
      <c r="A217">
        <v>20230805</v>
      </c>
      <c r="B217">
        <v>23217</v>
      </c>
    </row>
    <row r="218" spans="1:7">
      <c r="A218">
        <v>20230806</v>
      </c>
      <c r="B218">
        <v>23218</v>
      </c>
    </row>
    <row r="219" spans="1:7">
      <c r="A219">
        <v>20230807</v>
      </c>
      <c r="B219">
        <v>23219</v>
      </c>
    </row>
    <row r="220" spans="1:7">
      <c r="A220">
        <v>20230808</v>
      </c>
      <c r="B220">
        <v>23220</v>
      </c>
      <c r="G220" s="33"/>
    </row>
    <row r="221" spans="1:7">
      <c r="A221">
        <v>20230809</v>
      </c>
      <c r="B221">
        <v>23221</v>
      </c>
    </row>
    <row r="222" spans="1:7">
      <c r="A222">
        <v>20230810</v>
      </c>
      <c r="B222">
        <v>23222</v>
      </c>
    </row>
    <row r="223" spans="1:7">
      <c r="A223">
        <v>20230811</v>
      </c>
      <c r="B223">
        <v>23223</v>
      </c>
    </row>
    <row r="224" spans="1:7">
      <c r="A224">
        <v>20230812</v>
      </c>
      <c r="B224">
        <v>23224</v>
      </c>
    </row>
    <row r="225" spans="1:2">
      <c r="A225">
        <v>20230813</v>
      </c>
      <c r="B225">
        <v>23225</v>
      </c>
    </row>
    <row r="226" spans="1:2">
      <c r="A226">
        <v>20230814</v>
      </c>
      <c r="B226">
        <v>23226</v>
      </c>
    </row>
    <row r="227" spans="1:2">
      <c r="A227">
        <v>20230815</v>
      </c>
      <c r="B227">
        <v>23227</v>
      </c>
    </row>
    <row r="228" spans="1:2">
      <c r="A228">
        <v>20230816</v>
      </c>
      <c r="B228">
        <v>23228</v>
      </c>
    </row>
    <row r="229" spans="1:2">
      <c r="A229">
        <v>20230817</v>
      </c>
      <c r="B229">
        <v>23229</v>
      </c>
    </row>
    <row r="230" spans="1:2">
      <c r="A230">
        <v>20230818</v>
      </c>
      <c r="B230">
        <v>23230</v>
      </c>
    </row>
    <row r="231" spans="1:2">
      <c r="A231">
        <v>20230819</v>
      </c>
      <c r="B231">
        <v>23231</v>
      </c>
    </row>
    <row r="232" spans="1:2">
      <c r="A232">
        <v>20230820</v>
      </c>
      <c r="B232">
        <v>23232</v>
      </c>
    </row>
    <row r="233" spans="1:2">
      <c r="A233">
        <v>20230821</v>
      </c>
      <c r="B233">
        <v>23233</v>
      </c>
    </row>
    <row r="234" spans="1:2">
      <c r="A234">
        <v>20230822</v>
      </c>
      <c r="B234">
        <v>23234</v>
      </c>
    </row>
    <row r="235" spans="1:2">
      <c r="A235">
        <v>20230823</v>
      </c>
      <c r="B235">
        <v>23235</v>
      </c>
    </row>
    <row r="236" spans="1:2">
      <c r="A236">
        <v>20230824</v>
      </c>
      <c r="B236">
        <v>23236</v>
      </c>
    </row>
    <row r="237" spans="1:2">
      <c r="A237">
        <v>20230825</v>
      </c>
      <c r="B237">
        <v>23237</v>
      </c>
    </row>
    <row r="238" spans="1:2">
      <c r="A238">
        <v>20230826</v>
      </c>
      <c r="B238">
        <v>23238</v>
      </c>
    </row>
    <row r="239" spans="1:2">
      <c r="A239">
        <v>20230827</v>
      </c>
      <c r="B239">
        <v>23239</v>
      </c>
    </row>
    <row r="240" spans="1:2">
      <c r="A240">
        <v>20230828</v>
      </c>
      <c r="B240">
        <v>23240</v>
      </c>
    </row>
    <row r="241" spans="1:2">
      <c r="A241">
        <v>20230829</v>
      </c>
      <c r="B241">
        <v>23241</v>
      </c>
    </row>
    <row r="242" spans="1:2">
      <c r="A242">
        <v>20230830</v>
      </c>
      <c r="B242">
        <v>23242</v>
      </c>
    </row>
    <row r="243" spans="1:2">
      <c r="A243">
        <v>20230831</v>
      </c>
      <c r="B243">
        <v>23243</v>
      </c>
    </row>
    <row r="244" spans="1:2">
      <c r="A244">
        <v>20230901</v>
      </c>
      <c r="B244">
        <v>23244</v>
      </c>
    </row>
    <row r="245" spans="1:2">
      <c r="A245">
        <v>20230902</v>
      </c>
      <c r="B245">
        <v>23245</v>
      </c>
    </row>
    <row r="246" spans="1:2">
      <c r="A246">
        <v>20230903</v>
      </c>
      <c r="B246">
        <v>23246</v>
      </c>
    </row>
    <row r="247" spans="1:2">
      <c r="A247">
        <v>20230904</v>
      </c>
      <c r="B247">
        <v>23247</v>
      </c>
    </row>
    <row r="248" spans="1:2">
      <c r="A248">
        <v>20230905</v>
      </c>
      <c r="B248">
        <v>23248</v>
      </c>
    </row>
    <row r="249" spans="1:2">
      <c r="A249">
        <v>20230906</v>
      </c>
      <c r="B249">
        <v>23249</v>
      </c>
    </row>
    <row r="250" spans="1:2">
      <c r="A250">
        <v>20230907</v>
      </c>
      <c r="B250">
        <v>23250</v>
      </c>
    </row>
    <row r="251" spans="1:2">
      <c r="A251">
        <v>20230908</v>
      </c>
      <c r="B251">
        <v>23251</v>
      </c>
    </row>
    <row r="252" spans="1:2">
      <c r="A252">
        <v>20230909</v>
      </c>
      <c r="B252">
        <v>23252</v>
      </c>
    </row>
    <row r="253" spans="1:2">
      <c r="A253">
        <v>20230910</v>
      </c>
      <c r="B253">
        <v>23253</v>
      </c>
    </row>
    <row r="254" spans="1:2">
      <c r="A254">
        <v>20230911</v>
      </c>
      <c r="B254">
        <v>23254</v>
      </c>
    </row>
    <row r="255" spans="1:2">
      <c r="A255">
        <v>20230912</v>
      </c>
      <c r="B255">
        <v>23255</v>
      </c>
    </row>
    <row r="256" spans="1:2">
      <c r="A256">
        <v>20230913</v>
      </c>
      <c r="B256">
        <v>23256</v>
      </c>
    </row>
    <row r="257" spans="1:2">
      <c r="A257">
        <v>20230914</v>
      </c>
      <c r="B257">
        <v>23257</v>
      </c>
    </row>
    <row r="258" spans="1:2">
      <c r="A258">
        <v>20230915</v>
      </c>
      <c r="B258">
        <v>23258</v>
      </c>
    </row>
    <row r="259" spans="1:2">
      <c r="A259">
        <v>20230916</v>
      </c>
      <c r="B259">
        <v>23259</v>
      </c>
    </row>
    <row r="260" spans="1:2">
      <c r="A260">
        <v>20230917</v>
      </c>
      <c r="B260">
        <v>23260</v>
      </c>
    </row>
    <row r="261" spans="1:2">
      <c r="A261">
        <v>20230918</v>
      </c>
      <c r="B261">
        <v>23261</v>
      </c>
    </row>
    <row r="262" spans="1:2">
      <c r="A262">
        <v>20230919</v>
      </c>
      <c r="B262">
        <v>23262</v>
      </c>
    </row>
    <row r="263" spans="1:2">
      <c r="A263">
        <v>20230920</v>
      </c>
      <c r="B263">
        <v>23263</v>
      </c>
    </row>
    <row r="264" spans="1:2">
      <c r="A264">
        <v>20230921</v>
      </c>
      <c r="B264">
        <v>23264</v>
      </c>
    </row>
    <row r="265" spans="1:2">
      <c r="A265">
        <v>20230922</v>
      </c>
      <c r="B265">
        <v>23265</v>
      </c>
    </row>
    <row r="266" spans="1:2">
      <c r="A266">
        <v>20230923</v>
      </c>
      <c r="B266">
        <v>23266</v>
      </c>
    </row>
    <row r="267" spans="1:2">
      <c r="A267">
        <v>20230924</v>
      </c>
      <c r="B267">
        <v>23267</v>
      </c>
    </row>
    <row r="268" spans="1:2">
      <c r="A268">
        <v>20230925</v>
      </c>
      <c r="B268">
        <v>23268</v>
      </c>
    </row>
    <row r="269" spans="1:2">
      <c r="A269">
        <v>20230926</v>
      </c>
      <c r="B269">
        <v>23269</v>
      </c>
    </row>
    <row r="270" spans="1:2">
      <c r="A270">
        <v>20230927</v>
      </c>
      <c r="B270">
        <v>23270</v>
      </c>
    </row>
    <row r="271" spans="1:2">
      <c r="A271">
        <v>20230928</v>
      </c>
      <c r="B271">
        <v>23271</v>
      </c>
    </row>
    <row r="272" spans="1:2">
      <c r="A272">
        <v>20230929</v>
      </c>
      <c r="B272">
        <v>23272</v>
      </c>
    </row>
    <row r="273" spans="1:2">
      <c r="A273">
        <v>20230930</v>
      </c>
      <c r="B273">
        <v>23273</v>
      </c>
    </row>
    <row r="274" spans="1:2">
      <c r="A274">
        <v>20231001</v>
      </c>
      <c r="B274">
        <v>23274</v>
      </c>
    </row>
    <row r="275" spans="1:2">
      <c r="A275">
        <v>20231002</v>
      </c>
      <c r="B275">
        <v>23275</v>
      </c>
    </row>
    <row r="276" spans="1:2">
      <c r="A276">
        <v>20231003</v>
      </c>
      <c r="B276">
        <v>23276</v>
      </c>
    </row>
    <row r="277" spans="1:2">
      <c r="A277">
        <v>20231004</v>
      </c>
      <c r="B277">
        <v>23277</v>
      </c>
    </row>
    <row r="278" spans="1:2">
      <c r="A278">
        <v>20231005</v>
      </c>
      <c r="B278">
        <v>23278</v>
      </c>
    </row>
    <row r="279" spans="1:2">
      <c r="A279">
        <v>20231006</v>
      </c>
      <c r="B279">
        <v>23279</v>
      </c>
    </row>
    <row r="280" spans="1:2">
      <c r="A280">
        <v>20231007</v>
      </c>
      <c r="B280">
        <v>23280</v>
      </c>
    </row>
    <row r="281" spans="1:2">
      <c r="A281">
        <v>20231008</v>
      </c>
      <c r="B281">
        <v>23281</v>
      </c>
    </row>
    <row r="282" spans="1:2">
      <c r="A282">
        <v>20231009</v>
      </c>
      <c r="B282">
        <v>23282</v>
      </c>
    </row>
    <row r="283" spans="1:2">
      <c r="A283">
        <v>20231010</v>
      </c>
      <c r="B283">
        <v>23283</v>
      </c>
    </row>
    <row r="284" spans="1:2">
      <c r="A284">
        <v>20231011</v>
      </c>
      <c r="B284">
        <v>23284</v>
      </c>
    </row>
    <row r="285" spans="1:2">
      <c r="A285">
        <v>20231012</v>
      </c>
      <c r="B285">
        <v>23285</v>
      </c>
    </row>
    <row r="286" spans="1:2">
      <c r="A286">
        <v>20231013</v>
      </c>
      <c r="B286">
        <v>23286</v>
      </c>
    </row>
    <row r="287" spans="1:2">
      <c r="A287">
        <v>20231014</v>
      </c>
      <c r="B287">
        <v>23287</v>
      </c>
    </row>
    <row r="288" spans="1:2">
      <c r="A288">
        <v>20231015</v>
      </c>
      <c r="B288">
        <v>23288</v>
      </c>
    </row>
    <row r="289" spans="1:2">
      <c r="A289">
        <v>20231016</v>
      </c>
      <c r="B289">
        <v>23289</v>
      </c>
    </row>
    <row r="290" spans="1:2">
      <c r="A290">
        <v>20231017</v>
      </c>
      <c r="B290">
        <v>23290</v>
      </c>
    </row>
    <row r="291" spans="1:2">
      <c r="A291">
        <v>20231018</v>
      </c>
      <c r="B291">
        <v>23291</v>
      </c>
    </row>
    <row r="292" spans="1:2">
      <c r="A292">
        <v>20231019</v>
      </c>
      <c r="B292">
        <v>23292</v>
      </c>
    </row>
    <row r="293" spans="1:2">
      <c r="A293">
        <v>20231020</v>
      </c>
      <c r="B293">
        <v>23293</v>
      </c>
    </row>
    <row r="294" spans="1:2">
      <c r="A294">
        <v>20231021</v>
      </c>
      <c r="B294">
        <v>23294</v>
      </c>
    </row>
    <row r="295" spans="1:2">
      <c r="A295">
        <v>20231022</v>
      </c>
      <c r="B295">
        <v>23295</v>
      </c>
    </row>
    <row r="296" spans="1:2">
      <c r="A296">
        <v>20231023</v>
      </c>
      <c r="B296">
        <v>23296</v>
      </c>
    </row>
    <row r="297" spans="1:2">
      <c r="A297">
        <v>20231024</v>
      </c>
      <c r="B297">
        <v>23297</v>
      </c>
    </row>
    <row r="298" spans="1:2">
      <c r="A298">
        <v>20231025</v>
      </c>
      <c r="B298">
        <v>23298</v>
      </c>
    </row>
    <row r="299" spans="1:2">
      <c r="A299">
        <v>20231026</v>
      </c>
      <c r="B299">
        <v>23299</v>
      </c>
    </row>
    <row r="300" spans="1:2">
      <c r="A300">
        <v>20231027</v>
      </c>
      <c r="B300">
        <v>23300</v>
      </c>
    </row>
    <row r="301" spans="1:2">
      <c r="A301">
        <v>20231028</v>
      </c>
      <c r="B301">
        <v>23301</v>
      </c>
    </row>
    <row r="302" spans="1:2">
      <c r="A302">
        <v>20231029</v>
      </c>
      <c r="B302">
        <v>23302</v>
      </c>
    </row>
    <row r="303" spans="1:2">
      <c r="A303">
        <v>20231030</v>
      </c>
      <c r="B303">
        <v>23303</v>
      </c>
    </row>
    <row r="304" spans="1:2">
      <c r="A304">
        <v>20231031</v>
      </c>
      <c r="B304">
        <v>23304</v>
      </c>
    </row>
    <row r="305" spans="1:2">
      <c r="A305">
        <v>20231101</v>
      </c>
      <c r="B305">
        <v>23305</v>
      </c>
    </row>
    <row r="306" spans="1:2">
      <c r="A306">
        <v>20231102</v>
      </c>
      <c r="B306">
        <v>23306</v>
      </c>
    </row>
    <row r="307" spans="1:2">
      <c r="A307">
        <v>20231103</v>
      </c>
      <c r="B307">
        <v>23307</v>
      </c>
    </row>
    <row r="308" spans="1:2">
      <c r="A308">
        <v>20231104</v>
      </c>
      <c r="B308">
        <v>23308</v>
      </c>
    </row>
    <row r="309" spans="1:2">
      <c r="A309">
        <v>20231105</v>
      </c>
      <c r="B309">
        <v>23309</v>
      </c>
    </row>
    <row r="310" spans="1:2">
      <c r="A310">
        <v>20231106</v>
      </c>
      <c r="B310">
        <v>23310</v>
      </c>
    </row>
    <row r="311" spans="1:2">
      <c r="A311">
        <v>20231107</v>
      </c>
      <c r="B311">
        <v>23311</v>
      </c>
    </row>
    <row r="312" spans="1:2">
      <c r="A312">
        <v>20231108</v>
      </c>
      <c r="B312">
        <v>23312</v>
      </c>
    </row>
    <row r="313" spans="1:2">
      <c r="A313">
        <v>20231109</v>
      </c>
      <c r="B313">
        <v>23313</v>
      </c>
    </row>
    <row r="314" spans="1:2">
      <c r="A314">
        <v>20231110</v>
      </c>
      <c r="B314">
        <v>23314</v>
      </c>
    </row>
    <row r="315" spans="1:2">
      <c r="A315">
        <v>20231111</v>
      </c>
      <c r="B315">
        <v>23315</v>
      </c>
    </row>
    <row r="316" spans="1:2">
      <c r="A316">
        <v>20231112</v>
      </c>
      <c r="B316">
        <v>23316</v>
      </c>
    </row>
    <row r="317" spans="1:2">
      <c r="A317">
        <v>20231113</v>
      </c>
      <c r="B317">
        <v>23317</v>
      </c>
    </row>
    <row r="318" spans="1:2">
      <c r="A318">
        <v>20231114</v>
      </c>
      <c r="B318">
        <v>23318</v>
      </c>
    </row>
    <row r="319" spans="1:2">
      <c r="A319">
        <v>20231115</v>
      </c>
      <c r="B319">
        <v>23319</v>
      </c>
    </row>
    <row r="320" spans="1:2">
      <c r="A320">
        <v>20231116</v>
      </c>
      <c r="B320">
        <v>23320</v>
      </c>
    </row>
    <row r="321" spans="1:2">
      <c r="A321">
        <v>20231117</v>
      </c>
      <c r="B321">
        <v>23321</v>
      </c>
    </row>
    <row r="322" spans="1:2">
      <c r="A322">
        <v>20231118</v>
      </c>
      <c r="B322">
        <v>23322</v>
      </c>
    </row>
    <row r="323" spans="1:2">
      <c r="A323">
        <v>20231119</v>
      </c>
      <c r="B323">
        <v>23323</v>
      </c>
    </row>
    <row r="324" spans="1:2">
      <c r="A324">
        <v>20231120</v>
      </c>
      <c r="B324">
        <v>23324</v>
      </c>
    </row>
    <row r="325" spans="1:2">
      <c r="A325">
        <v>20231121</v>
      </c>
      <c r="B325">
        <v>23325</v>
      </c>
    </row>
    <row r="326" spans="1:2">
      <c r="A326">
        <v>20231122</v>
      </c>
      <c r="B326">
        <v>23326</v>
      </c>
    </row>
    <row r="327" spans="1:2">
      <c r="A327">
        <v>20231123</v>
      </c>
      <c r="B327">
        <v>23327</v>
      </c>
    </row>
    <row r="328" spans="1:2">
      <c r="A328">
        <v>20231124</v>
      </c>
      <c r="B328">
        <v>23328</v>
      </c>
    </row>
    <row r="329" spans="1:2">
      <c r="A329">
        <v>20231125</v>
      </c>
      <c r="B329">
        <v>23329</v>
      </c>
    </row>
    <row r="330" spans="1:2">
      <c r="A330">
        <v>20231126</v>
      </c>
      <c r="B330">
        <v>23330</v>
      </c>
    </row>
    <row r="331" spans="1:2">
      <c r="A331">
        <v>20231127</v>
      </c>
      <c r="B331">
        <v>23331</v>
      </c>
    </row>
    <row r="332" spans="1:2">
      <c r="A332">
        <v>20231128</v>
      </c>
      <c r="B332">
        <v>23332</v>
      </c>
    </row>
    <row r="333" spans="1:2">
      <c r="A333">
        <v>20231129</v>
      </c>
      <c r="B333">
        <v>23333</v>
      </c>
    </row>
    <row r="334" spans="1:2">
      <c r="A334">
        <v>20231130</v>
      </c>
      <c r="B334">
        <v>23334</v>
      </c>
    </row>
    <row r="335" spans="1:2">
      <c r="A335">
        <v>20231201</v>
      </c>
      <c r="B335">
        <v>23335</v>
      </c>
    </row>
    <row r="336" spans="1:2">
      <c r="A336">
        <v>20231202</v>
      </c>
      <c r="B336">
        <v>23336</v>
      </c>
    </row>
    <row r="337" spans="1:2">
      <c r="A337">
        <v>20231203</v>
      </c>
      <c r="B337">
        <v>23337</v>
      </c>
    </row>
    <row r="338" spans="1:2">
      <c r="A338">
        <v>20231204</v>
      </c>
      <c r="B338">
        <v>23338</v>
      </c>
    </row>
    <row r="339" spans="1:2">
      <c r="A339">
        <v>20231205</v>
      </c>
      <c r="B339">
        <v>23339</v>
      </c>
    </row>
    <row r="340" spans="1:2">
      <c r="A340">
        <v>20231206</v>
      </c>
      <c r="B340">
        <v>23340</v>
      </c>
    </row>
    <row r="341" spans="1:2">
      <c r="A341">
        <v>20231207</v>
      </c>
      <c r="B341">
        <v>23341</v>
      </c>
    </row>
    <row r="342" spans="1:2">
      <c r="A342">
        <v>20231208</v>
      </c>
      <c r="B342">
        <v>23342</v>
      </c>
    </row>
    <row r="343" spans="1:2">
      <c r="A343">
        <v>20231209</v>
      </c>
      <c r="B343">
        <v>23343</v>
      </c>
    </row>
    <row r="344" spans="1:2">
      <c r="A344">
        <v>20231210</v>
      </c>
      <c r="B344">
        <v>23344</v>
      </c>
    </row>
    <row r="345" spans="1:2">
      <c r="A345">
        <v>20231211</v>
      </c>
      <c r="B345">
        <v>23345</v>
      </c>
    </row>
    <row r="346" spans="1:2">
      <c r="A346">
        <v>20231212</v>
      </c>
      <c r="B346">
        <v>23346</v>
      </c>
    </row>
    <row r="347" spans="1:2">
      <c r="A347">
        <v>20231213</v>
      </c>
      <c r="B347">
        <v>23347</v>
      </c>
    </row>
    <row r="348" spans="1:2">
      <c r="A348">
        <v>20231214</v>
      </c>
      <c r="B348">
        <v>23348</v>
      </c>
    </row>
    <row r="349" spans="1:2">
      <c r="A349">
        <v>20231215</v>
      </c>
      <c r="B349">
        <v>23349</v>
      </c>
    </row>
    <row r="350" spans="1:2">
      <c r="A350">
        <v>20231216</v>
      </c>
      <c r="B350">
        <v>23350</v>
      </c>
    </row>
    <row r="351" spans="1:2">
      <c r="A351">
        <v>20231217</v>
      </c>
      <c r="B351">
        <v>23351</v>
      </c>
    </row>
    <row r="352" spans="1:2">
      <c r="A352">
        <v>20231218</v>
      </c>
      <c r="B352">
        <v>23352</v>
      </c>
    </row>
    <row r="353" spans="1:2">
      <c r="A353">
        <v>20231219</v>
      </c>
      <c r="B353">
        <v>23353</v>
      </c>
    </row>
    <row r="354" spans="1:2">
      <c r="A354">
        <v>20231220</v>
      </c>
      <c r="B354">
        <v>23354</v>
      </c>
    </row>
    <row r="355" spans="1:2">
      <c r="A355">
        <v>20231221</v>
      </c>
      <c r="B355">
        <v>23355</v>
      </c>
    </row>
    <row r="356" spans="1:2">
      <c r="A356">
        <v>20231222</v>
      </c>
      <c r="B356">
        <v>23356</v>
      </c>
    </row>
    <row r="357" spans="1:2">
      <c r="A357">
        <v>20231223</v>
      </c>
      <c r="B357">
        <v>23357</v>
      </c>
    </row>
    <row r="358" spans="1:2">
      <c r="A358">
        <v>20231224</v>
      </c>
      <c r="B358">
        <v>23358</v>
      </c>
    </row>
    <row r="359" spans="1:2">
      <c r="A359">
        <v>20231225</v>
      </c>
      <c r="B359">
        <v>23359</v>
      </c>
    </row>
    <row r="360" spans="1:2">
      <c r="A360">
        <v>20231226</v>
      </c>
      <c r="B360">
        <v>23360</v>
      </c>
    </row>
    <row r="361" spans="1:2">
      <c r="A361">
        <v>20231227</v>
      </c>
      <c r="B361">
        <v>23361</v>
      </c>
    </row>
    <row r="362" spans="1:2">
      <c r="A362">
        <v>20231228</v>
      </c>
      <c r="B362">
        <v>23362</v>
      </c>
    </row>
    <row r="363" spans="1:2">
      <c r="A363">
        <v>20231229</v>
      </c>
      <c r="B363">
        <v>23363</v>
      </c>
    </row>
    <row r="364" spans="1:2">
      <c r="A364">
        <v>20231230</v>
      </c>
      <c r="B364">
        <v>23364</v>
      </c>
    </row>
    <row r="365" spans="1:2">
      <c r="A365">
        <v>20231231</v>
      </c>
      <c r="B365">
        <v>23365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F4B67-1934-4C15-9D97-7EF2C79C4916}">
  <sheetPr codeName="Hoja17"/>
  <dimension ref="A1:B102"/>
  <sheetViews>
    <sheetView topLeftCell="A94" workbookViewId="0">
      <selection activeCell="C17" sqref="C17"/>
    </sheetView>
  </sheetViews>
  <sheetFormatPr baseColWidth="10" defaultRowHeight="14.5"/>
  <cols>
    <col min="1" max="1" width="53.26953125" customWidth="1"/>
    <col min="2" max="2" width="39.1796875" bestFit="1" customWidth="1"/>
  </cols>
  <sheetData>
    <row r="1" spans="1:2">
      <c r="A1" s="19" t="s">
        <v>663</v>
      </c>
    </row>
    <row r="2" spans="1:2">
      <c r="A2" s="19" t="s">
        <v>482</v>
      </c>
      <c r="B2" t="s">
        <v>701</v>
      </c>
    </row>
    <row r="3" spans="1:2">
      <c r="A3" s="19" t="s">
        <v>699</v>
      </c>
      <c r="B3" t="s">
        <v>700</v>
      </c>
    </row>
    <row r="4" spans="1:2">
      <c r="A4" s="19"/>
    </row>
    <row r="5" spans="1:2">
      <c r="A5" s="19" t="s">
        <v>704</v>
      </c>
    </row>
    <row r="6" spans="1:2">
      <c r="A6" s="19" t="s">
        <v>702</v>
      </c>
      <c r="B6" t="s">
        <v>703</v>
      </c>
    </row>
    <row r="7" spans="1:2">
      <c r="A7" s="19" t="s">
        <v>667</v>
      </c>
    </row>
    <row r="8" spans="1:2">
      <c r="A8" s="19"/>
    </row>
    <row r="9" spans="1:2">
      <c r="A9" s="19" t="s">
        <v>668</v>
      </c>
    </row>
    <row r="10" spans="1:2">
      <c r="A10" s="19" t="s">
        <v>669</v>
      </c>
    </row>
    <row r="11" spans="1:2">
      <c r="A11" s="19"/>
    </row>
    <row r="12" spans="1:2">
      <c r="A12" s="19" t="s">
        <v>670</v>
      </c>
    </row>
    <row r="13" spans="1:2">
      <c r="A13" s="19"/>
    </row>
    <row r="14" spans="1:2">
      <c r="A14" s="19" t="s">
        <v>671</v>
      </c>
    </row>
    <row r="15" spans="1:2">
      <c r="A15" s="19"/>
    </row>
    <row r="16" spans="1:2">
      <c r="A16" s="19" t="s">
        <v>663</v>
      </c>
    </row>
    <row r="17" spans="1:1">
      <c r="A17" s="19" t="s">
        <v>672</v>
      </c>
    </row>
    <row r="18" spans="1:1">
      <c r="A18" s="19" t="s">
        <v>673</v>
      </c>
    </row>
    <row r="19" spans="1:1">
      <c r="A19" s="19" t="s">
        <v>665</v>
      </c>
    </row>
    <row r="20" spans="1:1">
      <c r="A20" s="19" t="s">
        <v>674</v>
      </c>
    </row>
    <row r="21" spans="1:1">
      <c r="A21" s="19"/>
    </row>
    <row r="22" spans="1:1">
      <c r="A22" s="19" t="s">
        <v>666</v>
      </c>
    </row>
    <row r="23" spans="1:1">
      <c r="A23" s="19" t="s">
        <v>675</v>
      </c>
    </row>
    <row r="24" spans="1:1">
      <c r="A24" s="19"/>
    </row>
    <row r="25" spans="1:1">
      <c r="A25" s="19" t="s">
        <v>676</v>
      </c>
    </row>
    <row r="26" spans="1:1">
      <c r="A26" s="19" t="s">
        <v>677</v>
      </c>
    </row>
    <row r="27" spans="1:1">
      <c r="A27" s="19" t="s">
        <v>678</v>
      </c>
    </row>
    <row r="28" spans="1:1">
      <c r="A28" s="19"/>
    </row>
    <row r="29" spans="1:1">
      <c r="A29" s="19" t="s">
        <v>679</v>
      </c>
    </row>
    <row r="30" spans="1:1">
      <c r="A30" s="19"/>
    </row>
    <row r="31" spans="1:1">
      <c r="A31" s="19" t="s">
        <v>680</v>
      </c>
    </row>
    <row r="32" spans="1:1">
      <c r="A32" s="19"/>
    </row>
    <row r="33" spans="1:1">
      <c r="A33" s="19" t="s">
        <v>663</v>
      </c>
    </row>
    <row r="34" spans="1:1">
      <c r="A34" s="19" t="s">
        <v>674</v>
      </c>
    </row>
    <row r="35" spans="1:1">
      <c r="A35" s="19" t="s">
        <v>665</v>
      </c>
    </row>
    <row r="36" spans="1:1">
      <c r="A36" s="19"/>
    </row>
    <row r="37" spans="1:1">
      <c r="A37" s="19" t="s">
        <v>666</v>
      </c>
    </row>
    <row r="38" spans="1:1">
      <c r="A38" s="19" t="s">
        <v>681</v>
      </c>
    </row>
    <row r="39" spans="1:1">
      <c r="A39" s="19" t="s">
        <v>678</v>
      </c>
    </row>
    <row r="40" spans="1:1">
      <c r="A40" s="19"/>
    </row>
    <row r="41" spans="1:1">
      <c r="A41" s="19" t="s">
        <v>668</v>
      </c>
    </row>
    <row r="42" spans="1:1">
      <c r="A42" s="19" t="s">
        <v>677</v>
      </c>
    </row>
    <row r="43" spans="1:1">
      <c r="A43" s="19"/>
    </row>
    <row r="44" spans="1:1">
      <c r="A44" s="19" t="s">
        <v>682</v>
      </c>
    </row>
    <row r="45" spans="1:1">
      <c r="A45" s="19"/>
    </row>
    <row r="46" spans="1:1">
      <c r="A46" s="19" t="s">
        <v>683</v>
      </c>
    </row>
    <row r="47" spans="1:1">
      <c r="A47" s="19"/>
    </row>
    <row r="48" spans="1:1">
      <c r="A48" s="19" t="s">
        <v>663</v>
      </c>
    </row>
    <row r="49" spans="1:1">
      <c r="A49" s="19" t="s">
        <v>684</v>
      </c>
    </row>
    <row r="50" spans="1:1">
      <c r="A50" s="19" t="s">
        <v>674</v>
      </c>
    </row>
    <row r="51" spans="1:1">
      <c r="A51" s="19" t="s">
        <v>665</v>
      </c>
    </row>
    <row r="52" spans="1:1">
      <c r="A52" s="19"/>
    </row>
    <row r="53" spans="1:1">
      <c r="A53" s="19" t="s">
        <v>666</v>
      </c>
    </row>
    <row r="54" spans="1:1">
      <c r="A54" s="19" t="s">
        <v>685</v>
      </c>
    </row>
    <row r="55" spans="1:1">
      <c r="A55" s="19" t="s">
        <v>678</v>
      </c>
    </row>
    <row r="56" spans="1:1">
      <c r="A56" s="19"/>
    </row>
    <row r="57" spans="1:1">
      <c r="A57" s="19" t="s">
        <v>668</v>
      </c>
    </row>
    <row r="58" spans="1:1">
      <c r="A58" s="19" t="s">
        <v>677</v>
      </c>
    </row>
    <row r="59" spans="1:1">
      <c r="A59" s="19"/>
    </row>
    <row r="60" spans="1:1">
      <c r="A60" s="19" t="s">
        <v>686</v>
      </c>
    </row>
    <row r="61" spans="1:1">
      <c r="A61" s="19"/>
    </row>
    <row r="62" spans="1:1">
      <c r="A62" s="19" t="s">
        <v>687</v>
      </c>
    </row>
    <row r="63" spans="1:1">
      <c r="A63" s="19"/>
    </row>
    <row r="64" spans="1:1">
      <c r="A64" s="19" t="s">
        <v>663</v>
      </c>
    </row>
    <row r="65" spans="1:1">
      <c r="A65" s="19" t="s">
        <v>688</v>
      </c>
    </row>
    <row r="66" spans="1:1">
      <c r="A66" s="19" t="s">
        <v>665</v>
      </c>
    </row>
    <row r="67" spans="1:1">
      <c r="A67" s="19"/>
    </row>
    <row r="68" spans="1:1">
      <c r="A68" s="19" t="s">
        <v>666</v>
      </c>
    </row>
    <row r="69" spans="1:1">
      <c r="A69" s="19" t="s">
        <v>689</v>
      </c>
    </row>
    <row r="70" spans="1:1">
      <c r="A70" s="19" t="s">
        <v>678</v>
      </c>
    </row>
    <row r="71" spans="1:1">
      <c r="A71" s="19"/>
    </row>
    <row r="72" spans="1:1">
      <c r="A72" s="19" t="s">
        <v>690</v>
      </c>
    </row>
    <row r="73" spans="1:1">
      <c r="A73" s="19"/>
    </row>
    <row r="74" spans="1:1">
      <c r="A74" s="19" t="s">
        <v>691</v>
      </c>
    </row>
    <row r="75" spans="1:1">
      <c r="A75" s="19"/>
    </row>
    <row r="76" spans="1:1">
      <c r="A76" s="19" t="s">
        <v>663</v>
      </c>
    </row>
    <row r="77" spans="1:1">
      <c r="A77" s="19" t="s">
        <v>692</v>
      </c>
    </row>
    <row r="78" spans="1:1">
      <c r="A78" s="19" t="s">
        <v>693</v>
      </c>
    </row>
    <row r="79" spans="1:1">
      <c r="A79" s="19" t="s">
        <v>665</v>
      </c>
    </row>
    <row r="80" spans="1:1">
      <c r="A80" s="19"/>
    </row>
    <row r="81" spans="1:1">
      <c r="A81" s="19" t="s">
        <v>666</v>
      </c>
    </row>
    <row r="82" spans="1:1">
      <c r="A82" s="19" t="s">
        <v>694</v>
      </c>
    </row>
    <row r="83" spans="1:1">
      <c r="A83" s="19" t="s">
        <v>678</v>
      </c>
    </row>
    <row r="84" spans="1:1">
      <c r="A84" s="19"/>
    </row>
    <row r="85" spans="1:1">
      <c r="A85" s="19" t="s">
        <v>668</v>
      </c>
    </row>
    <row r="86" spans="1:1">
      <c r="A86" s="19" t="s">
        <v>677</v>
      </c>
    </row>
    <row r="87" spans="1:1">
      <c r="A87" s="19"/>
    </row>
    <row r="88" spans="1:1">
      <c r="A88" s="19" t="s">
        <v>695</v>
      </c>
    </row>
    <row r="89" spans="1:1">
      <c r="A89" s="19"/>
    </row>
    <row r="90" spans="1:1">
      <c r="A90" s="19" t="s">
        <v>696</v>
      </c>
    </row>
    <row r="91" spans="1:1">
      <c r="A91" s="19"/>
    </row>
    <row r="92" spans="1:1">
      <c r="A92" s="19" t="s">
        <v>663</v>
      </c>
    </row>
    <row r="93" spans="1:1">
      <c r="A93" s="19" t="s">
        <v>697</v>
      </c>
    </row>
    <row r="94" spans="1:1">
      <c r="A94" s="19" t="s">
        <v>664</v>
      </c>
    </row>
    <row r="95" spans="1:1">
      <c r="A95" s="19" t="s">
        <v>665</v>
      </c>
    </row>
    <row r="96" spans="1:1">
      <c r="A96" s="19"/>
    </row>
    <row r="97" spans="1:1">
      <c r="A97" s="19" t="s">
        <v>666</v>
      </c>
    </row>
    <row r="98" spans="1:1">
      <c r="A98" s="19" t="s">
        <v>698</v>
      </c>
    </row>
    <row r="99" spans="1:1">
      <c r="A99" s="19" t="s">
        <v>678</v>
      </c>
    </row>
    <row r="100" spans="1:1">
      <c r="A100" s="19"/>
    </row>
    <row r="101" spans="1:1">
      <c r="A101" s="19" t="s">
        <v>668</v>
      </c>
    </row>
    <row r="102" spans="1:1">
      <c r="A102" s="19" t="s">
        <v>677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E8F6-9BB5-4CFB-AA67-A6D48FCB615A}">
  <sheetPr codeName="Hoja19"/>
  <dimension ref="C2:O14"/>
  <sheetViews>
    <sheetView topLeftCell="A4" workbookViewId="0">
      <selection activeCell="J9" sqref="J9"/>
    </sheetView>
  </sheetViews>
  <sheetFormatPr baseColWidth="10" defaultRowHeight="14.5"/>
  <cols>
    <col min="6" max="6" width="12.26953125" bestFit="1" customWidth="1"/>
    <col min="7" max="7" width="11.81640625" bestFit="1" customWidth="1"/>
    <col min="8" max="8" width="9.54296875" bestFit="1" customWidth="1"/>
    <col min="9" max="9" width="10.81640625" bestFit="1" customWidth="1"/>
    <col min="10" max="10" width="12.26953125" bestFit="1" customWidth="1"/>
    <col min="11" max="11" width="13" bestFit="1" customWidth="1"/>
    <col min="12" max="12" width="3" bestFit="1" customWidth="1"/>
    <col min="13" max="13" width="43.81640625" style="15" customWidth="1"/>
    <col min="14" max="14" width="48.7265625" customWidth="1"/>
    <col min="15" max="15" width="44.453125" customWidth="1"/>
  </cols>
  <sheetData>
    <row r="2" spans="3:15">
      <c r="F2" s="375" t="s">
        <v>503</v>
      </c>
      <c r="G2" s="375"/>
      <c r="H2" s="375" t="s">
        <v>504</v>
      </c>
      <c r="I2" s="375"/>
      <c r="J2" s="375" t="s">
        <v>501</v>
      </c>
      <c r="K2" s="375"/>
      <c r="L2" s="17"/>
      <c r="M2" s="28" t="s">
        <v>506</v>
      </c>
      <c r="N2" s="17" t="s">
        <v>505</v>
      </c>
      <c r="O2" s="17" t="s">
        <v>502</v>
      </c>
    </row>
    <row r="3" spans="3:15" ht="43.5">
      <c r="F3" s="34" t="s">
        <v>162</v>
      </c>
      <c r="G3" s="34" t="s">
        <v>483</v>
      </c>
      <c r="H3" s="34" t="s">
        <v>491</v>
      </c>
      <c r="I3" s="34" t="s">
        <v>481</v>
      </c>
      <c r="J3" s="34" t="s">
        <v>162</v>
      </c>
      <c r="K3" s="34" t="str">
        <f>MID(I3,2,8)&amp;"BKP"</f>
        <v>SFBASICBKP</v>
      </c>
      <c r="L3" s="31">
        <f>LEN(K3)</f>
        <v>10</v>
      </c>
      <c r="M3" s="102" t="str">
        <f>"CPYF FROMFILE("&amp;F3&amp;"/"&amp;G3&amp;") TOFILE("&amp;H3&amp;"/"&amp;I3&amp;") MBROPT(*REPLACE)  FMTOPT(*NOCHK)"</f>
        <v>CPYF FROMFILE(BODEGATMP/FESFBASICI) TOFILE(ESTABLE/ESFBASIC) MBROPT(*REPLACE)  FMTOPT(*NOCHK)</v>
      </c>
      <c r="N3" s="102" t="str">
        <f>"CPYF FROMFILE("&amp;H3&amp;"/"&amp;I3&amp;") TOFILE("&amp;J3&amp;"/"&amp;K3&amp;") MBROPT(*REPLACE) CRTFILE(*YES) FMTOPT(*NOCHK)"</f>
        <v>CPYF FROMFILE(ESTABLE/ESFBASIC) TOFILE(BODEGATMP/SFBASICBKP) MBROPT(*REPLACE) CRTFILE(*YES) FMTOPT(*NOCHK)</v>
      </c>
      <c r="O3" s="102" t="str">
        <f>"CPYF FROMFILE("&amp;J3&amp;"/"&amp;K3&amp;") TOFILE("&amp;H3&amp;"/"&amp;I3&amp;") MBROPT(*REPLACE) FMTOPT(*NOCHK)"</f>
        <v>CPYF FROMFILE(BODEGATMP/SFBASICBKP) TOFILE(ESTABLE/ESFBASIC) MBROPT(*REPLACE) FMTOPT(*NOCHK)</v>
      </c>
    </row>
    <row r="4" spans="3:15" ht="43.5">
      <c r="C4" t="s">
        <v>470</v>
      </c>
      <c r="F4" s="34" t="s">
        <v>162</v>
      </c>
      <c r="G4" s="34" t="s">
        <v>484</v>
      </c>
      <c r="H4" s="34" t="s">
        <v>492</v>
      </c>
      <c r="I4" s="34" t="s">
        <v>482</v>
      </c>
      <c r="J4" s="34" t="s">
        <v>162</v>
      </c>
      <c r="K4" s="34" t="str">
        <f t="shared" ref="K4:K12" si="0">MID(I4,2,8)&amp;"BKP"</f>
        <v>EFTAB21BKP</v>
      </c>
      <c r="L4" s="31">
        <f t="shared" ref="L4:L14" si="1">LEN(K4)</f>
        <v>10</v>
      </c>
      <c r="M4" s="102" t="str">
        <f t="shared" ref="M4:M12" si="2">"CPYF FROMFILE("&amp;F4&amp;"/"&amp;G4&amp;") TOFILE("&amp;H4&amp;"/"&amp;I4&amp;") MBROPT(*REPLACE)  FMTOPT(*NOCHK)"</f>
        <v>CPYF FROMFILE(BODEGATMP/FREFTAB21I) TOFILE(SISTEMAS/REFTAB21) MBROPT(*REPLACE)  FMTOPT(*NOCHK)</v>
      </c>
      <c r="N4" s="102" t="str">
        <f t="shared" ref="N4:N12" si="3">"CPYF FROMFILE("&amp;H4&amp;"/"&amp;I4&amp;") TOFILE("&amp;J4&amp;"/"&amp;K4&amp;") MBROPT(*REPLACE) CRTFILE(*YES) FMTOPT(*NOCHK)"</f>
        <v>CPYF FROMFILE(SISTEMAS/REFTAB21) TOFILE(BODEGATMP/EFTAB21BKP) MBROPT(*REPLACE) CRTFILE(*YES) FMTOPT(*NOCHK)</v>
      </c>
      <c r="O4" s="102" t="str">
        <f t="shared" ref="O4:O12" si="4">"CPYF FROMFILE("&amp;J4&amp;"/"&amp;K4&amp;") TOFILE("&amp;H4&amp;"/"&amp;I4&amp;") MBROPT(*REPLACE) FMTOPT(*NOCHK)"</f>
        <v>CPYF FROMFILE(BODEGATMP/EFTAB21BKP) TOFILE(SISTEMAS/REFTAB21) MBROPT(*REPLACE) FMTOPT(*NOCHK)</v>
      </c>
    </row>
    <row r="5" spans="3:15" ht="43.5">
      <c r="C5" t="s">
        <v>472</v>
      </c>
      <c r="D5" s="373" t="s">
        <v>479</v>
      </c>
      <c r="F5" s="34" t="s">
        <v>162</v>
      </c>
      <c r="G5" s="34" t="s">
        <v>493</v>
      </c>
      <c r="H5" s="34" t="s">
        <v>492</v>
      </c>
      <c r="I5" s="34" t="s">
        <v>493</v>
      </c>
      <c r="J5" s="34" t="s">
        <v>162</v>
      </c>
      <c r="K5" s="34" t="str">
        <f t="shared" si="0"/>
        <v>AWTAB01BKP</v>
      </c>
      <c r="L5" s="31">
        <f t="shared" si="1"/>
        <v>10</v>
      </c>
      <c r="M5" s="102" t="str">
        <f t="shared" si="2"/>
        <v>CPYF FROMFILE(BODEGATMP/GAWTAB01) TOFILE(SISTEMAS/GAWTAB01) MBROPT(*REPLACE)  FMTOPT(*NOCHK)</v>
      </c>
      <c r="N5" s="102" t="str">
        <f t="shared" si="3"/>
        <v>CPYF FROMFILE(SISTEMAS/GAWTAB01) TOFILE(BODEGATMP/AWTAB01BKP) MBROPT(*REPLACE) CRTFILE(*YES) FMTOPT(*NOCHK)</v>
      </c>
      <c r="O5" s="102" t="str">
        <f t="shared" si="4"/>
        <v>CPYF FROMFILE(BODEGATMP/AWTAB01BKP) TOFILE(SISTEMAS/GAWTAB01) MBROPT(*REPLACE) FMTOPT(*NOCHK)</v>
      </c>
    </row>
    <row r="6" spans="3:15" ht="43.5">
      <c r="C6" t="s">
        <v>473</v>
      </c>
      <c r="D6" s="373"/>
      <c r="F6" s="34" t="s">
        <v>162</v>
      </c>
      <c r="G6" s="34" t="s">
        <v>485</v>
      </c>
      <c r="H6" s="34" t="s">
        <v>492</v>
      </c>
      <c r="I6" s="34" t="s">
        <v>494</v>
      </c>
      <c r="J6" s="34" t="s">
        <v>162</v>
      </c>
      <c r="K6" s="34" t="str">
        <f t="shared" si="0"/>
        <v>LF0100ABKP</v>
      </c>
      <c r="L6" s="31">
        <f t="shared" si="1"/>
        <v>10</v>
      </c>
      <c r="M6" s="102" t="str">
        <f t="shared" si="2"/>
        <v>CPYF FROMFILE(BODEGATMP/FPLF0100AI) TOFILE(SISTEMAS/PLF0100A) MBROPT(*REPLACE)  FMTOPT(*NOCHK)</v>
      </c>
      <c r="N6" s="102" t="str">
        <f t="shared" si="3"/>
        <v>CPYF FROMFILE(SISTEMAS/PLF0100A) TOFILE(BODEGATMP/LF0100ABKP) MBROPT(*REPLACE) CRTFILE(*YES) FMTOPT(*NOCHK)</v>
      </c>
      <c r="O6" s="102" t="str">
        <f t="shared" si="4"/>
        <v>CPYF FROMFILE(BODEGATMP/LF0100ABKP) TOFILE(SISTEMAS/PLF0100A) MBROPT(*REPLACE) FMTOPT(*NOCHK)</v>
      </c>
    </row>
    <row r="7" spans="3:15" ht="43.5">
      <c r="C7" t="s">
        <v>474</v>
      </c>
      <c r="D7" s="373"/>
      <c r="F7" s="34" t="s">
        <v>162</v>
      </c>
      <c r="G7" s="34" t="s">
        <v>486</v>
      </c>
      <c r="H7" s="34" t="s">
        <v>492</v>
      </c>
      <c r="I7" s="34" t="s">
        <v>495</v>
      </c>
      <c r="J7" s="34" t="s">
        <v>162</v>
      </c>
      <c r="K7" s="34" t="str">
        <f t="shared" si="0"/>
        <v>WFTAB08BKP</v>
      </c>
      <c r="L7" s="31">
        <f t="shared" si="1"/>
        <v>10</v>
      </c>
      <c r="M7" s="102" t="str">
        <f t="shared" si="2"/>
        <v>CPYF FROMFILE(BODEGATMP/FSWFTAB08I) TOFILE(SISTEMAS/SWFTAB08) MBROPT(*REPLACE)  FMTOPT(*NOCHK)</v>
      </c>
      <c r="N7" s="102" t="str">
        <f t="shared" si="3"/>
        <v>CPYF FROMFILE(SISTEMAS/SWFTAB08) TOFILE(BODEGATMP/WFTAB08BKP) MBROPT(*REPLACE) CRTFILE(*YES) FMTOPT(*NOCHK)</v>
      </c>
      <c r="O7" s="102" t="str">
        <f t="shared" si="4"/>
        <v>CPYF FROMFILE(BODEGATMP/WFTAB08BKP) TOFILE(SISTEMAS/SWFTAB08) MBROPT(*REPLACE) FMTOPT(*NOCHK)</v>
      </c>
    </row>
    <row r="8" spans="3:15" ht="43.5">
      <c r="C8" t="s">
        <v>476</v>
      </c>
      <c r="F8" s="34" t="s">
        <v>162</v>
      </c>
      <c r="G8" s="34" t="s">
        <v>487</v>
      </c>
      <c r="H8" s="34" t="s">
        <v>492</v>
      </c>
      <c r="I8" s="34" t="s">
        <v>496</v>
      </c>
      <c r="J8" s="34" t="s">
        <v>162</v>
      </c>
      <c r="K8" s="34" t="str">
        <f t="shared" si="0"/>
        <v>EFTAB08BKP</v>
      </c>
      <c r="L8" s="31">
        <f t="shared" si="1"/>
        <v>10</v>
      </c>
      <c r="M8" s="102" t="str">
        <f t="shared" si="2"/>
        <v>CPYF FROMFILE(BODEGATMP/FREFTAB08I) TOFILE(SISTEMAS/REFTAB08) MBROPT(*REPLACE)  FMTOPT(*NOCHK)</v>
      </c>
      <c r="N8" s="102" t="str">
        <f t="shared" si="3"/>
        <v>CPYF FROMFILE(SISTEMAS/REFTAB08) TOFILE(BODEGATMP/EFTAB08BKP) MBROPT(*REPLACE) CRTFILE(*YES) FMTOPT(*NOCHK)</v>
      </c>
      <c r="O8" s="102" t="str">
        <f t="shared" si="4"/>
        <v>CPYF FROMFILE(BODEGATMP/EFTAB08BKP) TOFILE(SISTEMAS/REFTAB08) MBROPT(*REPLACE) FMTOPT(*NOCHK)</v>
      </c>
    </row>
    <row r="9" spans="3:15" ht="43.5">
      <c r="C9" t="s">
        <v>475</v>
      </c>
      <c r="F9" s="34" t="s">
        <v>162</v>
      </c>
      <c r="G9" s="34" t="s">
        <v>488</v>
      </c>
      <c r="H9" s="34" t="s">
        <v>492</v>
      </c>
      <c r="I9" s="34" t="s">
        <v>497</v>
      </c>
      <c r="J9" s="34" t="s">
        <v>162</v>
      </c>
      <c r="K9" s="34" t="str">
        <f t="shared" si="0"/>
        <v>IF0100BBKP</v>
      </c>
      <c r="L9" s="31">
        <f t="shared" si="1"/>
        <v>10</v>
      </c>
      <c r="M9" s="102" t="str">
        <f t="shared" si="2"/>
        <v>CPYF FROMFILE(BODEGATMP/FSIF0100BI) TOFILE(SISTEMAS/SIF0100B) MBROPT(*REPLACE)  FMTOPT(*NOCHK)</v>
      </c>
      <c r="N9" s="102" t="str">
        <f t="shared" si="3"/>
        <v>CPYF FROMFILE(SISTEMAS/SIF0100B) TOFILE(BODEGATMP/IF0100BBKP) MBROPT(*REPLACE) CRTFILE(*YES) FMTOPT(*NOCHK)</v>
      </c>
      <c r="O9" s="102" t="str">
        <f t="shared" si="4"/>
        <v>CPYF FROMFILE(BODEGATMP/IF0100BBKP) TOFILE(SISTEMAS/SIF0100B) MBROPT(*REPLACE) FMTOPT(*NOCHK)</v>
      </c>
    </row>
    <row r="10" spans="3:15" ht="43.5">
      <c r="C10" t="s">
        <v>477</v>
      </c>
      <c r="F10" s="34" t="s">
        <v>162</v>
      </c>
      <c r="G10" s="34" t="s">
        <v>498</v>
      </c>
      <c r="H10" s="34" t="s">
        <v>187</v>
      </c>
      <c r="I10" s="34" t="s">
        <v>498</v>
      </c>
      <c r="J10" s="34" t="s">
        <v>162</v>
      </c>
      <c r="K10" s="34" t="str">
        <f t="shared" si="0"/>
        <v>AFTAB40BKP</v>
      </c>
      <c r="L10" s="31">
        <f t="shared" si="1"/>
        <v>10</v>
      </c>
      <c r="M10" s="102" t="str">
        <f t="shared" si="2"/>
        <v>CPYF FROMFILE(BODEGATMP/BAFTAB40) TOFILE(BASEDOS/BAFTAB40) MBROPT(*REPLACE)  FMTOPT(*NOCHK)</v>
      </c>
      <c r="N10" s="102" t="str">
        <f t="shared" si="3"/>
        <v>CPYF FROMFILE(BASEDOS/BAFTAB40) TOFILE(BODEGATMP/AFTAB40BKP) MBROPT(*REPLACE) CRTFILE(*YES) FMTOPT(*NOCHK)</v>
      </c>
      <c r="O10" s="102" t="str">
        <f t="shared" si="4"/>
        <v>CPYF FROMFILE(BODEGATMP/AFTAB40BKP) TOFILE(BASEDOS/BAFTAB40) MBROPT(*REPLACE) FMTOPT(*NOCHK)</v>
      </c>
    </row>
    <row r="11" spans="3:15" ht="43.5">
      <c r="C11" t="s">
        <v>478</v>
      </c>
      <c r="F11" s="34" t="s">
        <v>162</v>
      </c>
      <c r="G11" s="34" t="s">
        <v>489</v>
      </c>
      <c r="H11" s="34" t="s">
        <v>492</v>
      </c>
      <c r="I11" s="34" t="s">
        <v>499</v>
      </c>
      <c r="J11" s="34" t="s">
        <v>162</v>
      </c>
      <c r="K11" s="34" t="str">
        <f t="shared" si="0"/>
        <v>EFTAB23BKP</v>
      </c>
      <c r="L11" s="31">
        <f t="shared" si="1"/>
        <v>10</v>
      </c>
      <c r="M11" s="102" t="str">
        <f t="shared" si="2"/>
        <v>CPYF FROMFILE(BODEGATMP/FREFTAB23I) TOFILE(SISTEMAS/REFTAB23) MBROPT(*REPLACE)  FMTOPT(*NOCHK)</v>
      </c>
      <c r="N11" s="102" t="str">
        <f t="shared" si="3"/>
        <v>CPYF FROMFILE(SISTEMAS/REFTAB23) TOFILE(BODEGATMP/EFTAB23BKP) MBROPT(*REPLACE) CRTFILE(*YES) FMTOPT(*NOCHK)</v>
      </c>
      <c r="O11" s="102" t="str">
        <f t="shared" si="4"/>
        <v>CPYF FROMFILE(BODEGATMP/EFTAB23BKP) TOFILE(SISTEMAS/REFTAB23) MBROPT(*REPLACE) FMTOPT(*NOCHK)</v>
      </c>
    </row>
    <row r="12" spans="3:15" ht="43.5">
      <c r="C12" t="s">
        <v>480</v>
      </c>
      <c r="F12" s="34" t="s">
        <v>162</v>
      </c>
      <c r="G12" s="34" t="s">
        <v>490</v>
      </c>
      <c r="H12" s="34" t="s">
        <v>187</v>
      </c>
      <c r="I12" s="34" t="s">
        <v>500</v>
      </c>
      <c r="J12" s="34" t="s">
        <v>162</v>
      </c>
      <c r="K12" s="34" t="str">
        <f t="shared" si="0"/>
        <v>DF0304EBKP</v>
      </c>
      <c r="L12" s="31">
        <f t="shared" si="1"/>
        <v>10</v>
      </c>
      <c r="M12" s="102" t="str">
        <f t="shared" si="2"/>
        <v>CPYF FROMFILE(BODEGATMP/FVDF0304EI) TOFILE(BASEDOS/VDF0304E) MBROPT(*REPLACE)  FMTOPT(*NOCHK)</v>
      </c>
      <c r="N12" s="102" t="str">
        <f t="shared" si="3"/>
        <v>CPYF FROMFILE(BASEDOS/VDF0304E) TOFILE(BODEGATMP/DF0304EBKP) MBROPT(*REPLACE) CRTFILE(*YES) FMTOPT(*NOCHK)</v>
      </c>
      <c r="O12" s="102" t="str">
        <f t="shared" si="4"/>
        <v>CPYF FROMFILE(BODEGATMP/DF0304EBKP) TOFILE(BASEDOS/VDF0304E) MBROPT(*REPLACE) FMTOPT(*NOCHK)</v>
      </c>
    </row>
    <row r="13" spans="3:15" ht="43.5">
      <c r="F13" s="103" t="s">
        <v>162</v>
      </c>
      <c r="G13" s="103" t="s">
        <v>507</v>
      </c>
      <c r="H13" s="103" t="s">
        <v>491</v>
      </c>
      <c r="I13" s="103" t="s">
        <v>507</v>
      </c>
      <c r="J13" s="103" t="s">
        <v>162</v>
      </c>
      <c r="K13" s="103" t="str">
        <f t="shared" ref="K13" si="5">MID(I13,2,8)&amp;"BKP"</f>
        <v>SF0810CBKP</v>
      </c>
      <c r="L13" s="31">
        <f t="shared" si="1"/>
        <v>10</v>
      </c>
      <c r="M13" s="105" t="str">
        <f>"CPYF FROMFILE("&amp;F13&amp;"/"&amp;G13&amp;") TOFILE("&amp;H13&amp;"/"&amp;I13&amp;") MBROPT(*REPLACE)  FMTOPT(*NOCHK)"</f>
        <v>CPYF FROMFILE(BODEGATMP/ESF0810C) TOFILE(ESTABLE/ESF0810C) MBROPT(*REPLACE)  FMTOPT(*NOCHK)</v>
      </c>
      <c r="N13" s="105" t="str">
        <f>"CPYF FROMFILE("&amp;H13&amp;"/"&amp;I13&amp;") TOFILE("&amp;J13&amp;"/"&amp;K13&amp;") MBROPT(*REPLACE) CRTFILE(*YES) FMTOPT(*NOCHK)"</f>
        <v>CPYF FROMFILE(ESTABLE/ESF0810C) TOFILE(BODEGATMP/SF0810CBKP) MBROPT(*REPLACE) CRTFILE(*YES) FMTOPT(*NOCHK)</v>
      </c>
      <c r="O13" s="105" t="str">
        <f>"CPYF FROMFILE("&amp;J13&amp;"/"&amp;K13&amp;") TOFILE("&amp;H13&amp;"/"&amp;I13&amp;") MBROPT(*REPLACE) FMTOPT(*NOCHK)"</f>
        <v>CPYF FROMFILE(BODEGATMP/SF0810CBKP) TOFILE(ESTABLE/ESF0810C) MBROPT(*REPLACE) FMTOPT(*NOCHK)</v>
      </c>
    </row>
    <row r="14" spans="3:15" ht="43.5">
      <c r="F14" s="17" t="s">
        <v>492</v>
      </c>
      <c r="G14" s="17" t="s">
        <v>510</v>
      </c>
      <c r="H14" s="17" t="s">
        <v>492</v>
      </c>
      <c r="I14" s="17" t="s">
        <v>510</v>
      </c>
      <c r="J14" s="34" t="s">
        <v>162</v>
      </c>
      <c r="K14" s="17" t="s">
        <v>511</v>
      </c>
      <c r="L14" s="31">
        <f t="shared" si="1"/>
        <v>10</v>
      </c>
      <c r="M14" s="102" t="str">
        <f>"CPYF FROMFILE("&amp;F14&amp;"/"&amp;G14&amp;") TOFILE("&amp;H14&amp;"/"&amp;I14&amp;") MBROPT(*REPLACE)  FMTOPT(*NOCHK)"</f>
        <v>CPYF FROMFILE(SISTEMAS/REFTAB00) TOFILE(SISTEMAS/REFTAB00) MBROPT(*REPLACE)  FMTOPT(*NOCHK)</v>
      </c>
      <c r="N14" s="102" t="str">
        <f>"CPYF FROMFILE("&amp;H14&amp;"/"&amp;I14&amp;") TOFILE("&amp;J14&amp;"/"&amp;K14&amp;") MBROPT(*REPLACE) CRTFILE(*YES) FMTOPT(*NOCHK)"</f>
        <v>CPYF FROMFILE(SISTEMAS/REFTAB00) TOFILE(BODEGATMP/FEFTAB00BK) MBROPT(*REPLACE) CRTFILE(*YES) FMTOPT(*NOCHK)</v>
      </c>
      <c r="O14" s="102" t="str">
        <f>"CPYF FROMFILE("&amp;J14&amp;"/"&amp;K14&amp;") TOFILE("&amp;H14&amp;"/"&amp;I14&amp;") MBROPT(*REPLACE) FMTOPT(*NOCHK)"</f>
        <v>CPYF FROMFILE(BODEGATMP/FEFTAB00BK) TOFILE(SISTEMAS/REFTAB00) MBROPT(*REPLACE) FMTOPT(*NOCHK)</v>
      </c>
    </row>
  </sheetData>
  <mergeCells count="4">
    <mergeCell ref="D5:D7"/>
    <mergeCell ref="F2:G2"/>
    <mergeCell ref="H2:I2"/>
    <mergeCell ref="J2:K2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B5F92-04FE-4881-B212-31ACA870B2D8}">
  <sheetPr codeName="Hoja13">
    <tabColor rgb="FFFFFF00"/>
    <pageSetUpPr autoPageBreaks="0"/>
  </sheetPr>
  <dimension ref="A1:L45"/>
  <sheetViews>
    <sheetView topLeftCell="D27" zoomScale="95" zoomScaleNormal="95" workbookViewId="0">
      <selection activeCell="J40" sqref="J40"/>
    </sheetView>
  </sheetViews>
  <sheetFormatPr baseColWidth="10" defaultRowHeight="14.5"/>
  <cols>
    <col min="1" max="1" width="17.54296875" customWidth="1"/>
    <col min="2" max="2" width="30.7265625" bestFit="1" customWidth="1"/>
    <col min="3" max="3" width="78.81640625" bestFit="1" customWidth="1"/>
    <col min="4" max="4" width="33.26953125" bestFit="1" customWidth="1"/>
    <col min="5" max="5" width="13" bestFit="1" customWidth="1"/>
    <col min="6" max="6" width="21" bestFit="1" customWidth="1"/>
    <col min="7" max="9" width="13.453125" bestFit="1" customWidth="1"/>
    <col min="10" max="10" width="12.453125" bestFit="1" customWidth="1"/>
    <col min="11" max="11" width="12.26953125" bestFit="1" customWidth="1"/>
  </cols>
  <sheetData>
    <row r="1" spans="1:12" ht="29">
      <c r="A1" s="69" t="s">
        <v>333</v>
      </c>
      <c r="B1" s="69" t="s">
        <v>334</v>
      </c>
      <c r="C1" s="69" t="s">
        <v>335</v>
      </c>
      <c r="D1" s="69" t="s">
        <v>108</v>
      </c>
      <c r="E1" s="69" t="s">
        <v>343</v>
      </c>
      <c r="F1" s="69" t="s">
        <v>344</v>
      </c>
      <c r="G1" s="69" t="s">
        <v>336</v>
      </c>
      <c r="H1" s="69" t="s">
        <v>337</v>
      </c>
      <c r="I1" s="69" t="s">
        <v>338</v>
      </c>
      <c r="J1" s="72" t="s">
        <v>339</v>
      </c>
      <c r="K1" s="69" t="s">
        <v>415</v>
      </c>
    </row>
    <row r="2" spans="1:12">
      <c r="A2" s="17">
        <v>1023938998</v>
      </c>
      <c r="B2" s="17" t="str">
        <f t="shared" ref="B2:B15" si="0">IF(A2=1023938998,"NESTOR ANDRES GARNICA SAENZ","")</f>
        <v>NESTOR ANDRES GARNICA SAENZ</v>
      </c>
      <c r="C2" s="17" t="s">
        <v>747</v>
      </c>
      <c r="D2" s="63">
        <v>45048</v>
      </c>
      <c r="E2" s="62">
        <v>0.875</v>
      </c>
      <c r="F2" s="62">
        <v>0.99930555555555556</v>
      </c>
      <c r="G2" s="243"/>
      <c r="H2" s="34">
        <v>3</v>
      </c>
      <c r="I2" s="34"/>
      <c r="J2" s="34"/>
      <c r="K2" s="5" t="s">
        <v>649</v>
      </c>
      <c r="L2" t="s">
        <v>345</v>
      </c>
    </row>
    <row r="3" spans="1:12">
      <c r="A3" s="17">
        <v>1023938998</v>
      </c>
      <c r="B3" s="17" t="str">
        <f t="shared" si="0"/>
        <v>NESTOR ANDRES GARNICA SAENZ</v>
      </c>
      <c r="C3" s="17" t="s">
        <v>750</v>
      </c>
      <c r="D3" s="63">
        <v>45049</v>
      </c>
      <c r="E3" s="62">
        <v>0.16666666666666666</v>
      </c>
      <c r="F3" s="62">
        <v>0.20833333333333334</v>
      </c>
      <c r="G3" s="34"/>
      <c r="H3" s="34">
        <v>1</v>
      </c>
      <c r="I3" s="34"/>
      <c r="J3" s="34"/>
      <c r="K3" s="5" t="s">
        <v>649</v>
      </c>
      <c r="L3" t="s">
        <v>345</v>
      </c>
    </row>
    <row r="4" spans="1:12">
      <c r="A4" s="17">
        <v>1023938998</v>
      </c>
      <c r="B4" s="17" t="str">
        <f t="shared" si="0"/>
        <v>NESTOR ANDRES GARNICA SAENZ</v>
      </c>
      <c r="C4" s="17" t="s">
        <v>748</v>
      </c>
      <c r="D4" s="63">
        <v>45049</v>
      </c>
      <c r="E4" s="62">
        <v>0.875</v>
      </c>
      <c r="F4" s="62">
        <v>0.91666666666666663</v>
      </c>
      <c r="G4" s="34"/>
      <c r="H4" s="34">
        <v>1</v>
      </c>
      <c r="I4" s="34"/>
      <c r="J4" s="34"/>
      <c r="K4" s="5" t="s">
        <v>649</v>
      </c>
      <c r="L4" t="s">
        <v>345</v>
      </c>
    </row>
    <row r="5" spans="1:12">
      <c r="A5" s="17">
        <v>1023938998</v>
      </c>
      <c r="B5" s="17" t="str">
        <f t="shared" si="0"/>
        <v>NESTOR ANDRES GARNICA SAENZ</v>
      </c>
      <c r="C5" s="17" t="s">
        <v>751</v>
      </c>
      <c r="D5" s="63">
        <v>45050</v>
      </c>
      <c r="E5" s="62">
        <v>0.875</v>
      </c>
      <c r="F5" s="62">
        <v>0.99930555555555556</v>
      </c>
      <c r="G5" s="34"/>
      <c r="H5" s="34">
        <v>3</v>
      </c>
      <c r="I5" s="34"/>
      <c r="J5" s="34"/>
      <c r="K5" s="5" t="s">
        <v>649</v>
      </c>
      <c r="L5" t="s">
        <v>345</v>
      </c>
    </row>
    <row r="6" spans="1:12">
      <c r="A6" s="17">
        <v>1023938998</v>
      </c>
      <c r="B6" s="17" t="str">
        <f t="shared" si="0"/>
        <v>NESTOR ANDRES GARNICA SAENZ</v>
      </c>
      <c r="C6" s="17" t="s">
        <v>749</v>
      </c>
      <c r="D6" s="63">
        <v>45051</v>
      </c>
      <c r="E6" s="62">
        <v>0</v>
      </c>
      <c r="F6" s="62">
        <v>2.0833333333333332E-2</v>
      </c>
      <c r="G6" s="34"/>
      <c r="H6" s="34">
        <v>0.5</v>
      </c>
      <c r="I6" s="34"/>
      <c r="J6" s="34"/>
      <c r="K6" s="5" t="s">
        <v>649</v>
      </c>
      <c r="L6" t="s">
        <v>345</v>
      </c>
    </row>
    <row r="7" spans="1:12">
      <c r="A7" s="17">
        <v>1023938998</v>
      </c>
      <c r="B7" s="17" t="str">
        <f t="shared" si="0"/>
        <v>NESTOR ANDRES GARNICA SAENZ</v>
      </c>
      <c r="C7" s="17" t="s">
        <v>753</v>
      </c>
      <c r="D7" s="63">
        <v>45051</v>
      </c>
      <c r="E7" s="62">
        <v>0.45833333333333331</v>
      </c>
      <c r="F7" s="62">
        <v>0.47916666666666669</v>
      </c>
      <c r="G7" s="34"/>
      <c r="H7" s="34">
        <v>0.5</v>
      </c>
      <c r="I7" s="34"/>
      <c r="J7" s="34"/>
      <c r="K7" s="5" t="s">
        <v>649</v>
      </c>
      <c r="L7" s="64" t="s">
        <v>345</v>
      </c>
    </row>
    <row r="8" spans="1:12">
      <c r="A8" s="17">
        <v>1023938998</v>
      </c>
      <c r="B8" s="17" t="str">
        <f t="shared" si="0"/>
        <v>NESTOR ANDRES GARNICA SAENZ</v>
      </c>
      <c r="C8" s="17" t="s">
        <v>752</v>
      </c>
      <c r="D8" s="63">
        <v>45052</v>
      </c>
      <c r="E8" s="62">
        <v>4.1666666666666664E-2</v>
      </c>
      <c r="F8" s="62">
        <v>8.3333333333333329E-2</v>
      </c>
      <c r="H8" s="34">
        <v>1</v>
      </c>
      <c r="I8" s="34"/>
      <c r="J8" s="34"/>
      <c r="K8" s="242" t="s">
        <v>648</v>
      </c>
      <c r="L8" s="64" t="s">
        <v>345</v>
      </c>
    </row>
    <row r="9" spans="1:12">
      <c r="A9" s="17">
        <v>1023938998</v>
      </c>
      <c r="B9" s="17" t="str">
        <f t="shared" si="0"/>
        <v>NESTOR ANDRES GARNICA SAENZ</v>
      </c>
      <c r="C9" s="17" t="s">
        <v>646</v>
      </c>
      <c r="D9" s="63">
        <v>45052</v>
      </c>
      <c r="E9" s="62">
        <v>0.41666666666666669</v>
      </c>
      <c r="F9" s="62">
        <v>0.4375</v>
      </c>
      <c r="G9" s="34">
        <v>0.5</v>
      </c>
      <c r="H9" s="34"/>
      <c r="I9" s="34"/>
      <c r="J9" s="34"/>
      <c r="K9" s="242" t="s">
        <v>648</v>
      </c>
      <c r="L9" s="64" t="s">
        <v>345</v>
      </c>
    </row>
    <row r="10" spans="1:12">
      <c r="A10" s="17">
        <v>1023938998</v>
      </c>
      <c r="B10" s="17" t="str">
        <f t="shared" si="0"/>
        <v>NESTOR ANDRES GARNICA SAENZ</v>
      </c>
      <c r="C10" s="17" t="s">
        <v>376</v>
      </c>
      <c r="D10" s="63">
        <v>45052</v>
      </c>
      <c r="E10" s="62">
        <v>0.4375</v>
      </c>
      <c r="F10" s="62">
        <v>0.45833333333333331</v>
      </c>
      <c r="G10" s="34">
        <v>0.5</v>
      </c>
      <c r="H10" s="34"/>
      <c r="I10" s="34"/>
      <c r="J10" s="34"/>
      <c r="K10" s="242" t="s">
        <v>648</v>
      </c>
      <c r="L10" s="64" t="s">
        <v>345</v>
      </c>
    </row>
    <row r="11" spans="1:12">
      <c r="A11" s="17">
        <v>1023938998</v>
      </c>
      <c r="B11" s="17" t="str">
        <f t="shared" si="0"/>
        <v>NESTOR ANDRES GARNICA SAENZ</v>
      </c>
      <c r="C11" s="17" t="s">
        <v>647</v>
      </c>
      <c r="D11" s="63">
        <v>45052</v>
      </c>
      <c r="E11" s="62">
        <v>0.45833333333333331</v>
      </c>
      <c r="F11" s="62">
        <v>0.47916666666666669</v>
      </c>
      <c r="G11" s="34">
        <v>0.5</v>
      </c>
      <c r="H11" s="34"/>
      <c r="I11" s="34"/>
      <c r="J11" s="34"/>
      <c r="K11" s="242" t="s">
        <v>648</v>
      </c>
      <c r="L11" s="64" t="s">
        <v>345</v>
      </c>
    </row>
    <row r="12" spans="1:12">
      <c r="A12" s="17">
        <v>1023938998</v>
      </c>
      <c r="B12" s="17" t="str">
        <f t="shared" si="0"/>
        <v>NESTOR ANDRES GARNICA SAENZ</v>
      </c>
      <c r="C12" s="17" t="s">
        <v>752</v>
      </c>
      <c r="D12" s="63">
        <v>45053</v>
      </c>
      <c r="E12" s="267">
        <v>4.1666666666666664E-2</v>
      </c>
      <c r="F12" s="267">
        <v>6.25E-2</v>
      </c>
      <c r="H12" s="34"/>
      <c r="I12" s="34"/>
      <c r="J12" s="34">
        <v>0.5</v>
      </c>
      <c r="K12" s="242" t="s">
        <v>648</v>
      </c>
      <c r="L12" s="64" t="s">
        <v>345</v>
      </c>
    </row>
    <row r="13" spans="1:12">
      <c r="A13" s="17">
        <v>1023938998</v>
      </c>
      <c r="B13" s="17" t="str">
        <f t="shared" si="0"/>
        <v>NESTOR ANDRES GARNICA SAENZ</v>
      </c>
      <c r="C13" s="17" t="s">
        <v>646</v>
      </c>
      <c r="D13" s="63">
        <v>45053</v>
      </c>
      <c r="E13" s="62">
        <v>0.41666666666666669</v>
      </c>
      <c r="F13" s="62">
        <v>0.4375</v>
      </c>
      <c r="G13" s="34"/>
      <c r="H13" s="34"/>
      <c r="I13" s="34">
        <v>0.5</v>
      </c>
      <c r="J13" s="34"/>
      <c r="K13" s="242" t="s">
        <v>648</v>
      </c>
      <c r="L13" s="64"/>
    </row>
    <row r="14" spans="1:12">
      <c r="A14" s="17">
        <v>1023938998</v>
      </c>
      <c r="B14" s="17" t="str">
        <f t="shared" si="0"/>
        <v>NESTOR ANDRES GARNICA SAENZ</v>
      </c>
      <c r="C14" s="17" t="s">
        <v>376</v>
      </c>
      <c r="D14" s="63">
        <v>45053</v>
      </c>
      <c r="E14" s="62">
        <v>0.4375</v>
      </c>
      <c r="F14" s="62">
        <v>0.45833333333333331</v>
      </c>
      <c r="G14" s="34"/>
      <c r="H14" s="34"/>
      <c r="I14" s="34">
        <v>0.5</v>
      </c>
      <c r="J14" s="34"/>
      <c r="K14" s="242" t="s">
        <v>648</v>
      </c>
      <c r="L14" s="64"/>
    </row>
    <row r="15" spans="1:12">
      <c r="A15" s="17">
        <v>1023938998</v>
      </c>
      <c r="B15" s="17" t="str">
        <f t="shared" si="0"/>
        <v>NESTOR ANDRES GARNICA SAENZ</v>
      </c>
      <c r="C15" s="17" t="s">
        <v>647</v>
      </c>
      <c r="D15" s="63">
        <v>45053</v>
      </c>
      <c r="E15" s="62">
        <v>0.45833333333333331</v>
      </c>
      <c r="F15" s="62">
        <v>0.47916666666666669</v>
      </c>
      <c r="G15" s="34"/>
      <c r="H15" s="34"/>
      <c r="I15" s="34">
        <v>0.5</v>
      </c>
      <c r="J15" s="68"/>
      <c r="K15" s="242" t="s">
        <v>648</v>
      </c>
      <c r="L15" s="64"/>
    </row>
    <row r="16" spans="1:12">
      <c r="A16" s="17"/>
      <c r="B16" s="17"/>
      <c r="C16" s="17"/>
      <c r="D16" s="63"/>
      <c r="E16" s="62"/>
      <c r="F16" s="62"/>
      <c r="G16" s="34"/>
      <c r="H16" s="34"/>
      <c r="I16" s="34"/>
      <c r="J16" s="68"/>
      <c r="K16" s="242"/>
      <c r="L16" s="64"/>
    </row>
    <row r="17" spans="1:12">
      <c r="A17" s="17"/>
      <c r="B17" s="17"/>
      <c r="C17" s="17"/>
      <c r="D17" s="63"/>
      <c r="E17" s="62"/>
      <c r="F17" s="62"/>
      <c r="G17" s="34"/>
      <c r="H17" s="34"/>
      <c r="I17" s="34"/>
      <c r="J17" s="68"/>
      <c r="K17" s="242"/>
      <c r="L17" s="64"/>
    </row>
    <row r="18" spans="1:12">
      <c r="A18" s="17"/>
      <c r="B18" s="17"/>
      <c r="C18" s="17"/>
      <c r="D18" s="63"/>
      <c r="E18" s="62"/>
      <c r="F18" s="62"/>
      <c r="G18" s="34"/>
      <c r="H18" s="34"/>
      <c r="I18" s="34"/>
      <c r="J18" s="68"/>
      <c r="K18" s="5"/>
      <c r="L18" s="64"/>
    </row>
    <row r="19" spans="1:12">
      <c r="A19" s="17"/>
      <c r="B19" s="17"/>
      <c r="C19" s="17"/>
      <c r="D19" s="63"/>
      <c r="E19" s="62"/>
      <c r="F19" s="62"/>
      <c r="G19" s="34"/>
      <c r="H19" s="34"/>
      <c r="I19" s="34"/>
      <c r="J19" s="68"/>
      <c r="K19" s="5"/>
      <c r="L19" s="64"/>
    </row>
    <row r="20" spans="1:12">
      <c r="A20" s="17"/>
      <c r="B20" s="17"/>
      <c r="C20" s="17"/>
      <c r="D20" s="63"/>
      <c r="E20" s="62"/>
      <c r="F20" s="62"/>
      <c r="G20" s="68"/>
      <c r="H20" s="34"/>
      <c r="I20" s="68"/>
      <c r="J20" s="68"/>
      <c r="K20" s="5"/>
      <c r="L20" s="64"/>
    </row>
    <row r="21" spans="1:12">
      <c r="A21" s="17"/>
      <c r="B21" s="17"/>
      <c r="C21" s="17"/>
      <c r="D21" s="63"/>
      <c r="E21" s="62"/>
      <c r="F21" s="62"/>
      <c r="G21" s="68"/>
      <c r="H21" s="68"/>
      <c r="I21" s="68"/>
      <c r="J21" s="68"/>
      <c r="K21" s="5"/>
      <c r="L21" s="64"/>
    </row>
    <row r="22" spans="1:12">
      <c r="A22" s="17"/>
      <c r="B22" s="17"/>
      <c r="C22" s="17"/>
      <c r="D22" s="63"/>
      <c r="E22" s="62"/>
      <c r="F22" s="62"/>
      <c r="G22" s="68"/>
      <c r="H22" s="68"/>
      <c r="I22" s="68"/>
      <c r="J22" s="68"/>
      <c r="K22" s="5"/>
      <c r="L22" s="64"/>
    </row>
    <row r="23" spans="1:12">
      <c r="A23" s="17"/>
      <c r="B23" s="17"/>
      <c r="C23" s="17"/>
      <c r="D23" s="63"/>
      <c r="E23" s="62"/>
      <c r="F23" s="62"/>
      <c r="G23" s="34"/>
      <c r="H23" s="34"/>
      <c r="I23" s="34"/>
      <c r="J23" s="34"/>
      <c r="K23" s="5"/>
      <c r="L23" s="64"/>
    </row>
    <row r="24" spans="1:12">
      <c r="A24" s="17"/>
      <c r="B24" s="17"/>
      <c r="C24" s="17"/>
      <c r="D24" s="63"/>
      <c r="E24" s="62"/>
      <c r="F24" s="62"/>
      <c r="G24" s="68"/>
      <c r="H24" s="68"/>
      <c r="I24" s="68"/>
      <c r="J24" s="68"/>
      <c r="K24" s="5"/>
      <c r="L24" s="64"/>
    </row>
    <row r="25" spans="1:12">
      <c r="A25" s="17"/>
      <c r="B25" s="17"/>
      <c r="C25" s="17"/>
      <c r="D25" s="63"/>
      <c r="E25" s="62"/>
      <c r="F25" s="62"/>
      <c r="G25" s="68"/>
      <c r="H25" s="68"/>
      <c r="I25" s="68"/>
      <c r="J25" s="68"/>
      <c r="K25" s="5"/>
      <c r="L25" s="64"/>
    </row>
    <row r="26" spans="1:12">
      <c r="A26" s="17"/>
      <c r="B26" s="17"/>
      <c r="C26" s="17"/>
      <c r="D26" s="63"/>
      <c r="E26" s="62"/>
      <c r="F26" s="62"/>
      <c r="G26" s="34"/>
      <c r="H26" s="34"/>
      <c r="I26" s="34"/>
      <c r="J26" s="34"/>
      <c r="K26" s="5"/>
      <c r="L26" s="64"/>
    </row>
    <row r="27" spans="1:12">
      <c r="A27" s="17"/>
      <c r="B27" s="17"/>
      <c r="C27" s="17"/>
      <c r="D27" s="63"/>
      <c r="E27" s="62"/>
      <c r="F27" s="62"/>
      <c r="G27" s="34"/>
      <c r="H27" s="34"/>
      <c r="I27" s="34"/>
      <c r="J27" s="34"/>
      <c r="K27" s="5"/>
      <c r="L27" s="64"/>
    </row>
    <row r="28" spans="1:12">
      <c r="A28" s="17"/>
      <c r="B28" s="17"/>
      <c r="C28" s="17"/>
      <c r="D28" s="63"/>
      <c r="E28" s="62"/>
      <c r="F28" s="62"/>
      <c r="G28" s="68"/>
      <c r="H28" s="68"/>
      <c r="I28" s="68"/>
      <c r="J28" s="68"/>
      <c r="K28" s="5"/>
      <c r="L28" s="64"/>
    </row>
    <row r="29" spans="1:12">
      <c r="A29" s="17"/>
      <c r="B29" s="17"/>
      <c r="C29" s="17"/>
      <c r="D29" s="63"/>
      <c r="E29" s="62"/>
      <c r="F29" s="62"/>
      <c r="G29" s="68"/>
      <c r="H29" s="68"/>
      <c r="I29" s="68"/>
      <c r="J29" s="68"/>
      <c r="K29" s="5"/>
      <c r="L29" s="64"/>
    </row>
    <row r="30" spans="1:12">
      <c r="A30" s="17"/>
      <c r="B30" s="17"/>
      <c r="C30" s="17"/>
      <c r="D30" s="63"/>
      <c r="E30" s="62"/>
      <c r="F30" s="62"/>
      <c r="G30" s="68"/>
      <c r="H30" s="68"/>
      <c r="I30" s="68"/>
      <c r="J30" s="68"/>
      <c r="K30" s="5"/>
      <c r="L30" s="64"/>
    </row>
    <row r="31" spans="1:12">
      <c r="A31" s="17"/>
      <c r="B31" s="17"/>
      <c r="C31" s="17"/>
      <c r="D31" s="63"/>
      <c r="E31" s="62"/>
      <c r="F31" s="62"/>
      <c r="G31" s="68"/>
      <c r="H31" s="68"/>
      <c r="I31" s="68"/>
      <c r="J31" s="68"/>
      <c r="K31" s="5"/>
      <c r="L31" s="64"/>
    </row>
    <row r="32" spans="1:12">
      <c r="A32" s="17"/>
      <c r="B32" s="17"/>
      <c r="C32" s="17"/>
      <c r="D32" s="63"/>
      <c r="E32" s="62"/>
      <c r="F32" s="62"/>
      <c r="G32" s="68"/>
      <c r="H32" s="68"/>
      <c r="I32" s="68"/>
      <c r="J32" s="68"/>
      <c r="K32" s="5"/>
      <c r="L32" s="64"/>
    </row>
    <row r="33" spans="1:12">
      <c r="A33" s="17"/>
      <c r="B33" s="17"/>
      <c r="C33" s="17"/>
      <c r="D33" s="63"/>
      <c r="E33" s="62"/>
      <c r="F33" s="62"/>
      <c r="G33" s="68"/>
      <c r="H33" s="68"/>
      <c r="I33" s="68"/>
      <c r="J33" s="68"/>
      <c r="K33" s="5"/>
      <c r="L33" s="64"/>
    </row>
    <row r="34" spans="1:12">
      <c r="A34" s="17"/>
      <c r="B34" s="17"/>
      <c r="C34" s="17"/>
      <c r="D34" s="63"/>
      <c r="E34" s="62"/>
      <c r="F34" s="62"/>
      <c r="G34" s="34"/>
      <c r="H34" s="34"/>
      <c r="I34" s="34"/>
      <c r="J34" s="34"/>
      <c r="K34" s="5"/>
      <c r="L34" s="64"/>
    </row>
    <row r="35" spans="1:12">
      <c r="A35" s="17"/>
      <c r="B35" s="17"/>
      <c r="C35" s="17"/>
      <c r="D35" s="63"/>
      <c r="E35" s="62"/>
      <c r="F35" s="62"/>
      <c r="G35" s="68"/>
      <c r="H35" s="68"/>
      <c r="I35" s="68"/>
      <c r="J35" s="68"/>
      <c r="K35" s="5"/>
      <c r="L35" s="64"/>
    </row>
    <row r="36" spans="1:12">
      <c r="A36" s="17"/>
      <c r="B36" s="17"/>
      <c r="C36" s="17"/>
      <c r="D36" s="63"/>
      <c r="E36" s="62"/>
      <c r="F36" s="62"/>
      <c r="G36" s="34"/>
      <c r="H36" s="34"/>
      <c r="I36" s="34"/>
      <c r="J36" s="34"/>
      <c r="K36" s="5"/>
      <c r="L36" s="64"/>
    </row>
    <row r="37" spans="1:12">
      <c r="A37" s="17"/>
      <c r="B37" s="17"/>
      <c r="C37" s="17"/>
      <c r="D37" s="63"/>
      <c r="E37" s="62"/>
      <c r="F37" s="62"/>
      <c r="G37" s="68"/>
      <c r="H37" s="68"/>
      <c r="I37" s="68"/>
      <c r="J37" s="68"/>
      <c r="K37" s="5"/>
      <c r="L37" s="64"/>
    </row>
    <row r="38" spans="1:12">
      <c r="F38" s="73" t="s">
        <v>340</v>
      </c>
      <c r="G38" s="244">
        <f>SUMIF(K2:K37,"EXTRA",G2:G37)</f>
        <v>1.5</v>
      </c>
      <c r="H38" s="244">
        <f>SUMIF(K2:K37,"EXTRA",H2:H37)</f>
        <v>1</v>
      </c>
      <c r="I38" s="244">
        <f>SUMIF(K2:K37,"EXTRA",I2:I37)</f>
        <v>1.5</v>
      </c>
      <c r="J38" s="244">
        <f>SUMIF(K2:K37,"EXTRA",J2:J37)</f>
        <v>0.5</v>
      </c>
      <c r="K38" s="245" t="s">
        <v>650</v>
      </c>
    </row>
    <row r="39" spans="1:12">
      <c r="F39" s="65" t="s">
        <v>341</v>
      </c>
      <c r="G39" s="428">
        <f>SUM(G38:J38)+K39</f>
        <v>13.5</v>
      </c>
      <c r="H39" s="384"/>
      <c r="I39" s="384"/>
      <c r="J39" s="384"/>
      <c r="K39" s="17">
        <f>SUMIF(K2:K37,"RECARGO",G2:G37)+SUMIF(K2:K37,"RECARGO",H2:H37)+SUMIF(K2:K37,"RECARGO",I2:I37)+SUMIF(K2:K37,"RECARGO",J2:J37)</f>
        <v>9</v>
      </c>
      <c r="L39" s="17">
        <f>F41*35%</f>
        <v>7583.333333333333</v>
      </c>
    </row>
    <row r="40" spans="1:12">
      <c r="F40" s="65" t="s">
        <v>342</v>
      </c>
      <c r="G40" s="66">
        <f>F41*1.25</f>
        <v>27083.333333333336</v>
      </c>
      <c r="H40" s="67">
        <f>F41*1.75</f>
        <v>37916.666666666672</v>
      </c>
      <c r="I40" s="67">
        <f>F41*2</f>
        <v>43333.333333333336</v>
      </c>
      <c r="J40" s="67">
        <f>F41*2.2</f>
        <v>47666.666666666672</v>
      </c>
      <c r="K40">
        <f>L39*K39</f>
        <v>68250</v>
      </c>
    </row>
    <row r="41" spans="1:12">
      <c r="F41">
        <f>5200000/240</f>
        <v>21666.666666666668</v>
      </c>
      <c r="G41" s="67">
        <f>G40*G38</f>
        <v>40625</v>
      </c>
      <c r="H41" s="67">
        <f>H40*H38</f>
        <v>37916.666666666672</v>
      </c>
      <c r="I41" s="67">
        <f>I40*I38</f>
        <v>65000</v>
      </c>
      <c r="J41" s="67">
        <f>J40*J38</f>
        <v>23833.333333333336</v>
      </c>
      <c r="K41" s="67"/>
    </row>
    <row r="42" spans="1:12">
      <c r="F42" s="65" t="s">
        <v>429</v>
      </c>
      <c r="G42" s="429">
        <f>SUM(G41:J41)+K40</f>
        <v>235625.00000000003</v>
      </c>
      <c r="H42" s="429"/>
      <c r="I42" s="429"/>
      <c r="J42" s="429"/>
    </row>
    <row r="43" spans="1:12">
      <c r="F43" s="65" t="s">
        <v>430</v>
      </c>
      <c r="G43" s="429">
        <f>G42*4%</f>
        <v>9425.0000000000018</v>
      </c>
      <c r="H43" s="429"/>
      <c r="I43" s="429"/>
      <c r="J43" s="429"/>
    </row>
    <row r="44" spans="1:12">
      <c r="F44" s="65" t="s">
        <v>431</v>
      </c>
      <c r="G44" s="429">
        <f>G42*4%</f>
        <v>9425.0000000000018</v>
      </c>
      <c r="H44" s="429"/>
      <c r="I44" s="429"/>
      <c r="J44" s="429"/>
    </row>
    <row r="45" spans="1:12">
      <c r="F45" s="65" t="s">
        <v>432</v>
      </c>
      <c r="G45" s="429">
        <f>G42-G43-G44</f>
        <v>216775.00000000003</v>
      </c>
      <c r="H45" s="429"/>
      <c r="I45" s="429"/>
      <c r="J45" s="429"/>
    </row>
  </sheetData>
  <autoFilter ref="A1:K42" xr:uid="{5A4B5F92-04FE-4881-B212-31ACA870B2D8}"/>
  <mergeCells count="5">
    <mergeCell ref="G39:J39"/>
    <mergeCell ref="G42:J42"/>
    <mergeCell ref="G43:J43"/>
    <mergeCell ref="G44:J44"/>
    <mergeCell ref="G45:J45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81AA1-8624-4AFB-B955-F82CFCC3E83A}">
  <sheetPr codeName="Hoja21"/>
  <dimension ref="A1:G17"/>
  <sheetViews>
    <sheetView topLeftCell="B4" workbookViewId="0">
      <selection activeCell="G9" sqref="G9"/>
    </sheetView>
  </sheetViews>
  <sheetFormatPr baseColWidth="10" defaultRowHeight="14.5"/>
  <cols>
    <col min="1" max="1" width="14.453125" bestFit="1" customWidth="1"/>
    <col min="2" max="2" width="38.26953125" bestFit="1" customWidth="1"/>
    <col min="5" max="5" width="21.54296875" bestFit="1" customWidth="1"/>
    <col min="6" max="6" width="76.26953125" bestFit="1" customWidth="1"/>
    <col min="7" max="7" width="22.453125" bestFit="1" customWidth="1"/>
  </cols>
  <sheetData>
    <row r="1" spans="1:7">
      <c r="A1" s="4" t="s">
        <v>415</v>
      </c>
      <c r="B1" s="5" t="s">
        <v>469</v>
      </c>
    </row>
    <row r="2" spans="1:7">
      <c r="A2" s="4" t="s">
        <v>103</v>
      </c>
      <c r="B2" s="5" t="s">
        <v>59</v>
      </c>
    </row>
    <row r="3" spans="1:7">
      <c r="A3" s="4" t="s">
        <v>104</v>
      </c>
      <c r="B3" s="6">
        <f>VLOOKUP(B2,'Bancos y listas'!B:C,2,FALSE)</f>
        <v>69</v>
      </c>
    </row>
    <row r="4" spans="1:7">
      <c r="A4" s="4" t="s">
        <v>104</v>
      </c>
      <c r="B4" s="6" t="str">
        <f>REPT("0",2-LEN(B3))&amp;VLOOKUP(B2,'Bancos y listas'!B:C,2,FALSE)</f>
        <v>69</v>
      </c>
      <c r="E4" s="57" t="s">
        <v>416</v>
      </c>
      <c r="F4" t="str">
        <f>"SELECT * FROM SISTEMAS.PLF0100A WHERE MBANCO = "&amp;B4&amp;" AND MBINCO IN ("&amp;B10&amp;")"</f>
        <v>SELECT * FROM SISTEMAS.PLF0100A WHERE MBANCO = 69 AND MBINCO IN ('377844')</v>
      </c>
    </row>
    <row r="5" spans="1:7">
      <c r="A5" s="8" t="s">
        <v>118</v>
      </c>
      <c r="B5" s="46" t="s">
        <v>558</v>
      </c>
      <c r="E5" s="57" t="s">
        <v>417</v>
      </c>
      <c r="F5" t="str">
        <f>"SELECT * FROM SISTEMAS.SWFTAB08 WHERE RCDCMP = "&amp;B4&amp;" AND RCDBIN IN ("&amp;B10&amp;")"</f>
        <v>SELECT * FROM SISTEMAS.SWFTAB08 WHERE RCDCMP = 69 AND RCDBIN IN ('377844')</v>
      </c>
    </row>
    <row r="6" spans="1:7">
      <c r="A6" s="8" t="s">
        <v>117</v>
      </c>
      <c r="B6" s="6"/>
      <c r="E6" s="57" t="s">
        <v>418</v>
      </c>
      <c r="F6" t="str">
        <f>"SELECT * FROM SISTEMAS.REFTAB08 WHERE  RBINCO IN ("&amp;B10&amp;")"</f>
        <v>SELECT * FROM SISTEMAS.REFTAB08 WHERE  RBINCO IN ('377844')</v>
      </c>
    </row>
    <row r="7" spans="1:7">
      <c r="A7" s="8" t="s">
        <v>119</v>
      </c>
      <c r="B7" s="6"/>
      <c r="E7" s="57" t="s">
        <v>419</v>
      </c>
      <c r="F7" t="str">
        <f>"SELECT * FROM SISTEMAS.SIF0100B WHERE DCDCMP = "&amp;B4&amp;" AND DCDBIN IN ("&amp;B10&amp;")"</f>
        <v>SELECT * FROM SISTEMAS.SIF0100B WHERE DCDCMP = 69 AND DCDBIN IN ('377844')</v>
      </c>
    </row>
    <row r="8" spans="1:7">
      <c r="A8" s="8" t="s">
        <v>120</v>
      </c>
      <c r="B8" s="6"/>
      <c r="E8" s="57" t="s">
        <v>420</v>
      </c>
      <c r="F8" t="str">
        <f>"SELECT * FROM BASEDOS.BAFTAB40 WHERE RCDCMP = "&amp;B4&amp;" AND RCDBIN IN ("&amp;B10&amp;")"</f>
        <v>SELECT * FROM BASEDOS.BAFTAB40 WHERE RCDCMP = 69 AND RCDBIN IN ('377844')</v>
      </c>
      <c r="G8" t="s">
        <v>846</v>
      </c>
    </row>
    <row r="9" spans="1:7">
      <c r="A9" s="8" t="s">
        <v>121</v>
      </c>
      <c r="B9" s="6"/>
      <c r="E9" s="57" t="s">
        <v>421</v>
      </c>
      <c r="F9" t="str">
        <f>"SELECT * FROM SISTEMAS.REFTAB23 WHERE RCDBIN IN("&amp;B10&amp;")"</f>
        <v>SELECT * FROM SISTEMAS.REFTAB23 WHERE RCDBIN IN('377844')</v>
      </c>
      <c r="G9" t="s">
        <v>424</v>
      </c>
    </row>
    <row r="10" spans="1:7">
      <c r="A10" s="8" t="s">
        <v>122</v>
      </c>
      <c r="B10" s="5" t="str">
        <f>IF(B6="","'"&amp;B5&amp;"'",IF(B7="","'"&amp;B5&amp;"',"&amp;"'"&amp;B6&amp;"'",IF(B8="","'"&amp;B5&amp;"',"&amp;"'"&amp;B6&amp;"',"&amp;"'"&amp;B7&amp;"'",IF(B9="","'"&amp;B5&amp;"',"&amp;"'"&amp;B6&amp;"',"&amp;"'"&amp;B7&amp;"',"&amp;"'"&amp;B8&amp;"'",IF(B9&lt;&gt;"","'"&amp;B5&amp;"',"&amp;"'"&amp;B6&amp;"',"&amp;"'"&amp;B7&amp;"',"&amp;"'"&amp;B8&amp;"',"&amp;"'"&amp;B9&amp;"'",)))))</f>
        <v>'377844'</v>
      </c>
      <c r="E10" s="57" t="s">
        <v>844</v>
      </c>
      <c r="F10" t="str">
        <f>"SELECT * FROM BASEDOS/VDF0304E WHERE BINCOD IN ("&amp;B10&amp;")"</f>
        <v>SELECT * FROM BASEDOS/VDF0304E WHERE BINCOD IN ('377844')</v>
      </c>
      <c r="G10" t="s">
        <v>424</v>
      </c>
    </row>
    <row r="11" spans="1:7">
      <c r="A11" s="8" t="s">
        <v>426</v>
      </c>
      <c r="B11" s="7" t="str">
        <f ca="1">TEXT(TODAY(),"YYYYMMDD")</f>
        <v>20230831</v>
      </c>
    </row>
    <row r="12" spans="1:7">
      <c r="A12" s="8" t="s">
        <v>428</v>
      </c>
      <c r="B12" s="7" t="str">
        <f ca="1">TEXT(NOW(),"HHMM")</f>
        <v>1035</v>
      </c>
      <c r="E12" s="57" t="s">
        <v>422</v>
      </c>
      <c r="F12" s="15" t="str">
        <f>"UPDATE BODEGATMP.PLF0100ANG SET MBANCO = "&amp;B3&amp;", MBINCO = "&amp;B5</f>
        <v>UPDATE BODEGATMP.PLF0100ANG SET MBANCO = 69, MBINCO = 377844</v>
      </c>
    </row>
    <row r="13" spans="1:7" ht="43.5">
      <c r="A13" s="8" t="s">
        <v>427</v>
      </c>
      <c r="B13" s="17" t="s">
        <v>262</v>
      </c>
      <c r="E13" s="97" t="s">
        <v>423</v>
      </c>
      <c r="F13" s="15" t="str">
        <f>"UPDATE BODEGATMP.SWFTAB08NG SET RCDBIN = "&amp;B5&amp;", RNOINS ='"&amp;B2&amp;"', RCDCMP = "&amp;B4&amp;", RNOBIN = '"&amp;B1&amp;" "&amp;B2&amp;"', RNOPRO= '"&amp;B1&amp;"', RFIL01= SUBSTR(RFIL01, 1, 6)||'"&amp;B2&amp;"'"</f>
        <v>UPDATE BODEGATMP.SWFTAB08NG SET RCDBIN = 377844, RNOINS ='COOMEVA', RCDCMP = 69, RNOBIN = 'PLATINUM CONSUMO_ COOMEVA', RNOPRO= 'PLATINUM CONSUMO_', RFIL01= SUBSTR(RFIL01, 1, 6)||'COOMEVA'</v>
      </c>
    </row>
    <row r="14" spans="1:7" ht="29">
      <c r="E14" s="97" t="s">
        <v>425</v>
      </c>
      <c r="F14" s="15" t="str">
        <f>"UPDATE BODEGATMP/REFTAB08NG SET RBINCO = "&amp;B5&amp;", RNOBIN = '"&amp;B1&amp;" "&amp;B2&amp;"'"</f>
        <v>UPDATE BODEGATMP/REFTAB08NG SET RBINCO = 377844, RNOBIN = 'PLATINUM CONSUMO_ COOMEVA'</v>
      </c>
    </row>
    <row r="16" spans="1:7" ht="43.5">
      <c r="E16" s="430" t="s">
        <v>845</v>
      </c>
      <c r="F16" s="15" t="str">
        <f ca="1">"UPDATE BODEGATMP/SIF0100BNG SET DCDBIN = "&amp;B5&amp;", DSUBCD = SUBSTR(DSUBCD , 1, 10)||"&amp;" '"&amp;B2&amp;"', DCDFID = '"&amp;REPT(0,4-LEN(B4))&amp;B4&amp;"', DCDCMP = "&amp;B4&amp;", DFHPRO = "&amp;B11&amp;", DHMPRO = '"&amp;B12&amp;"', DCDUSU = '"&amp;B13&amp;"' WHERE DCDTAB = 'TAB01'"</f>
        <v>UPDATE BODEGATMP/SIF0100BNG SET DCDBIN = 377844, DSUBCD = SUBSTR(DSUBCD , 1, 10)|| 'COOMEVA', DCDFID = '0069', DCDCMP = 69, DFHPRO = 20230831, DHMPRO = '1035', DCDUSU = 'NGARNICA' WHERE DCDTAB = 'TAB01'</v>
      </c>
    </row>
    <row r="17" spans="5:6" ht="43.5">
      <c r="E17" s="430"/>
      <c r="F17" s="15" t="str">
        <f ca="1">"UPDATE BODEGATMP/SIF0100BNG SET DCDBIN = "&amp;B5&amp;",  DCDFID = '"&amp;REPT(0,4-LEN(B4))&amp;B4&amp;"', DCDCMP = "&amp;B4&amp;", DFHPRO = "&amp;B11&amp;", DHMPRO = '"&amp;B12&amp;"', DCDUSU = ' "&amp;B13&amp;"' WHERE DCDTAB = 'TAB03'"</f>
        <v>UPDATE BODEGATMP/SIF0100BNG SET DCDBIN = 377844,  DCDFID = '0069', DCDCMP = 69, DFHPRO = 20230831, DHMPRO = '1035', DCDUSU = ' NGARNICA' WHERE DCDTAB = 'TAB03'</v>
      </c>
    </row>
  </sheetData>
  <mergeCells count="1">
    <mergeCell ref="E16:E17"/>
  </mergeCells>
  <dataValidations count="1">
    <dataValidation type="list" allowBlank="1" showInputMessage="1" showErrorMessage="1" sqref="B2" xr:uid="{0327520D-C7B1-4166-B0BE-7E98C50DC5FB}">
      <formula1>NOMBRE_BANCO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B95B7-29F6-4C36-A358-113F43F03CB7}">
  <sheetPr codeName="Hoja14">
    <tabColor rgb="FFFF0000"/>
    <pageSetUpPr autoPageBreaks="0"/>
  </sheetPr>
  <dimension ref="A1:C10"/>
  <sheetViews>
    <sheetView topLeftCell="A2" workbookViewId="0">
      <selection activeCell="D4" sqref="D4"/>
    </sheetView>
  </sheetViews>
  <sheetFormatPr baseColWidth="10" defaultRowHeight="14.5"/>
  <cols>
    <col min="2" max="2" width="40.453125" bestFit="1" customWidth="1"/>
    <col min="3" max="3" width="91.26953125" bestFit="1" customWidth="1"/>
  </cols>
  <sheetData>
    <row r="1" spans="1:3">
      <c r="A1" s="71" t="s">
        <v>108</v>
      </c>
      <c r="B1" s="71" t="s">
        <v>346</v>
      </c>
      <c r="C1" s="71" t="s">
        <v>361</v>
      </c>
    </row>
    <row r="2" spans="1:3" ht="378.75" customHeight="1">
      <c r="A2" s="74"/>
      <c r="B2" s="75"/>
      <c r="C2" s="76"/>
    </row>
    <row r="3" spans="1:3">
      <c r="A3" s="74"/>
      <c r="B3" s="75"/>
      <c r="C3" s="76"/>
    </row>
    <row r="4" spans="1:3" ht="102" customHeight="1">
      <c r="A4" s="74"/>
      <c r="B4" s="76"/>
      <c r="C4" s="76"/>
    </row>
    <row r="5" spans="1:3" ht="33" customHeight="1">
      <c r="A5" s="74"/>
      <c r="B5" s="75"/>
      <c r="C5" s="76"/>
    </row>
    <row r="6" spans="1:3" ht="51.75" customHeight="1">
      <c r="A6" s="74"/>
      <c r="B6" s="75"/>
      <c r="C6" s="76"/>
    </row>
    <row r="7" spans="1:3">
      <c r="A7" s="98"/>
      <c r="B7" s="75"/>
      <c r="C7" s="75"/>
    </row>
    <row r="8" spans="1:3">
      <c r="A8" s="98"/>
      <c r="B8" s="75"/>
      <c r="C8" s="75"/>
    </row>
    <row r="9" spans="1:3">
      <c r="A9" s="99"/>
      <c r="B9" s="76"/>
      <c r="C9" s="76"/>
    </row>
    <row r="10" spans="1:3">
      <c r="A10" s="100"/>
      <c r="B10" s="76"/>
      <c r="C10" s="76"/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6ABF8-0817-4910-9E44-04F66A8B2D88}">
  <sheetPr codeName="Hoja23"/>
  <dimension ref="A1:C28"/>
  <sheetViews>
    <sheetView topLeftCell="A4" zoomScale="80" zoomScaleNormal="80" workbookViewId="0">
      <selection activeCell="D20" sqref="D20"/>
    </sheetView>
  </sheetViews>
  <sheetFormatPr baseColWidth="10" defaultRowHeight="14.5"/>
  <cols>
    <col min="1" max="1" width="32.26953125" bestFit="1" customWidth="1"/>
    <col min="2" max="2" width="77.26953125" bestFit="1" customWidth="1"/>
    <col min="3" max="3" width="24.81640625" bestFit="1" customWidth="1"/>
  </cols>
  <sheetData>
    <row r="1" spans="1:3">
      <c r="A1" s="101" t="s">
        <v>433</v>
      </c>
      <c r="B1" s="101" t="s">
        <v>434</v>
      </c>
      <c r="C1" s="101" t="s">
        <v>757</v>
      </c>
    </row>
    <row r="2" spans="1:3">
      <c r="A2" s="431" t="s">
        <v>439</v>
      </c>
      <c r="B2" s="17" t="s">
        <v>778</v>
      </c>
      <c r="C2" s="17" t="s">
        <v>441</v>
      </c>
    </row>
    <row r="3" spans="1:3">
      <c r="A3" s="432"/>
      <c r="B3" s="17" t="s">
        <v>779</v>
      </c>
      <c r="C3" s="17" t="s">
        <v>441</v>
      </c>
    </row>
    <row r="4" spans="1:3">
      <c r="A4" s="432"/>
      <c r="B4" s="17" t="s">
        <v>435</v>
      </c>
      <c r="C4" s="17" t="s">
        <v>441</v>
      </c>
    </row>
    <row r="5" spans="1:3">
      <c r="A5" s="432"/>
      <c r="B5" s="17" t="s">
        <v>436</v>
      </c>
      <c r="C5" s="17" t="s">
        <v>441</v>
      </c>
    </row>
    <row r="6" spans="1:3">
      <c r="A6" s="432"/>
      <c r="B6" s="17" t="s">
        <v>437</v>
      </c>
      <c r="C6" s="17" t="s">
        <v>441</v>
      </c>
    </row>
    <row r="7" spans="1:3">
      <c r="A7" s="432"/>
      <c r="B7" s="17" t="s">
        <v>438</v>
      </c>
      <c r="C7" s="17" t="s">
        <v>441</v>
      </c>
    </row>
    <row r="8" spans="1:3">
      <c r="A8" s="432"/>
      <c r="B8" s="17" t="s">
        <v>448</v>
      </c>
      <c r="C8" s="17" t="s">
        <v>441</v>
      </c>
    </row>
    <row r="9" spans="1:3">
      <c r="A9" s="432"/>
      <c r="B9" s="17" t="s">
        <v>449</v>
      </c>
      <c r="C9" s="17" t="s">
        <v>444</v>
      </c>
    </row>
    <row r="10" spans="1:3">
      <c r="A10" s="432"/>
      <c r="B10" s="17" t="s">
        <v>759</v>
      </c>
      <c r="C10" s="17" t="s">
        <v>444</v>
      </c>
    </row>
    <row r="11" spans="1:3">
      <c r="A11" s="433"/>
      <c r="B11" s="17" t="s">
        <v>760</v>
      </c>
      <c r="C11" s="17" t="s">
        <v>444</v>
      </c>
    </row>
    <row r="12" spans="1:3">
      <c r="A12" s="384" t="s">
        <v>440</v>
      </c>
      <c r="B12" s="17" t="s">
        <v>761</v>
      </c>
      <c r="C12" s="17" t="s">
        <v>442</v>
      </c>
    </row>
    <row r="13" spans="1:3">
      <c r="A13" s="384"/>
      <c r="B13" s="17" t="s">
        <v>762</v>
      </c>
      <c r="C13" s="17" t="s">
        <v>442</v>
      </c>
    </row>
    <row r="14" spans="1:3">
      <c r="A14" s="431" t="s">
        <v>758</v>
      </c>
      <c r="B14" s="17" t="s">
        <v>763</v>
      </c>
      <c r="C14" s="17" t="s">
        <v>442</v>
      </c>
    </row>
    <row r="15" spans="1:3">
      <c r="A15" s="433"/>
      <c r="B15" s="17" t="s">
        <v>764</v>
      </c>
      <c r="C15" s="17" t="s">
        <v>442</v>
      </c>
    </row>
    <row r="16" spans="1:3" ht="15" customHeight="1">
      <c r="A16" s="313" t="s">
        <v>765</v>
      </c>
      <c r="B16" s="17" t="s">
        <v>766</v>
      </c>
      <c r="C16" s="17" t="s">
        <v>443</v>
      </c>
    </row>
    <row r="17" spans="1:3">
      <c r="A17" s="314"/>
      <c r="B17" s="17" t="s">
        <v>767</v>
      </c>
      <c r="C17" s="17" t="s">
        <v>442</v>
      </c>
    </row>
    <row r="18" spans="1:3">
      <c r="A18" s="315"/>
      <c r="B18" s="17" t="s">
        <v>453</v>
      </c>
      <c r="C18" s="17" t="s">
        <v>442</v>
      </c>
    </row>
    <row r="19" spans="1:3">
      <c r="A19" s="384" t="s">
        <v>768</v>
      </c>
      <c r="B19" s="17" t="s">
        <v>769</v>
      </c>
      <c r="C19" s="17" t="s">
        <v>444</v>
      </c>
    </row>
    <row r="20" spans="1:3">
      <c r="A20" s="384"/>
      <c r="B20" s="17" t="s">
        <v>770</v>
      </c>
      <c r="C20" s="17" t="s">
        <v>444</v>
      </c>
    </row>
    <row r="21" spans="1:3">
      <c r="A21" s="384"/>
      <c r="B21" s="17" t="s">
        <v>771</v>
      </c>
      <c r="C21" s="17" t="s">
        <v>444</v>
      </c>
    </row>
    <row r="22" spans="1:3">
      <c r="A22" s="384"/>
      <c r="B22" s="17" t="s">
        <v>772</v>
      </c>
      <c r="C22" s="17" t="s">
        <v>444</v>
      </c>
    </row>
    <row r="23" spans="1:3">
      <c r="A23" s="318" t="s">
        <v>447</v>
      </c>
      <c r="B23" s="17" t="s">
        <v>773</v>
      </c>
      <c r="C23" s="17" t="s">
        <v>446</v>
      </c>
    </row>
    <row r="24" spans="1:3">
      <c r="A24" s="318"/>
      <c r="B24" s="17" t="s">
        <v>774</v>
      </c>
      <c r="C24" s="17" t="s">
        <v>445</v>
      </c>
    </row>
    <row r="25" spans="1:3">
      <c r="A25" s="318"/>
      <c r="B25" s="17" t="s">
        <v>775</v>
      </c>
      <c r="C25" s="17" t="s">
        <v>445</v>
      </c>
    </row>
    <row r="26" spans="1:3">
      <c r="A26" s="431" t="s">
        <v>450</v>
      </c>
      <c r="B26" s="17" t="s">
        <v>776</v>
      </c>
      <c r="C26" s="17" t="s">
        <v>444</v>
      </c>
    </row>
    <row r="27" spans="1:3">
      <c r="A27" s="433"/>
      <c r="B27" s="17" t="s">
        <v>777</v>
      </c>
      <c r="C27" s="17" t="s">
        <v>444</v>
      </c>
    </row>
    <row r="28" spans="1:3">
      <c r="A28" s="5" t="s">
        <v>452</v>
      </c>
      <c r="B28" s="17" t="s">
        <v>451</v>
      </c>
      <c r="C28" s="17" t="s">
        <v>444</v>
      </c>
    </row>
  </sheetData>
  <mergeCells count="7">
    <mergeCell ref="A2:A11"/>
    <mergeCell ref="A16:A18"/>
    <mergeCell ref="A26:A27"/>
    <mergeCell ref="A14:A15"/>
    <mergeCell ref="A12:A13"/>
    <mergeCell ref="A19:A22"/>
    <mergeCell ref="A23:A25"/>
  </mergeCell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BC922-59DD-4333-99CE-02E3BD5935C3}">
  <sheetPr codeName="Hoja16"/>
  <dimension ref="A1:B21"/>
  <sheetViews>
    <sheetView workbookViewId="0">
      <selection activeCell="B6" sqref="B6"/>
    </sheetView>
  </sheetViews>
  <sheetFormatPr baseColWidth="10" defaultRowHeight="14.5"/>
  <cols>
    <col min="1" max="1" width="45.7265625" bestFit="1" customWidth="1"/>
    <col min="2" max="2" width="96.7265625" style="15" customWidth="1"/>
  </cols>
  <sheetData>
    <row r="1" spans="1:2" ht="30" customHeight="1">
      <c r="A1" s="434" t="s">
        <v>515</v>
      </c>
      <c r="B1" s="434"/>
    </row>
    <row r="2" spans="1:2">
      <c r="A2" s="31" t="s">
        <v>516</v>
      </c>
      <c r="B2" s="102" t="s">
        <v>517</v>
      </c>
    </row>
    <row r="3" spans="1:2">
      <c r="A3" s="31" t="s">
        <v>518</v>
      </c>
      <c r="B3" s="102" t="s">
        <v>519</v>
      </c>
    </row>
    <row r="4" spans="1:2">
      <c r="A4" s="31" t="s">
        <v>520</v>
      </c>
      <c r="B4" s="102" t="s">
        <v>521</v>
      </c>
    </row>
    <row r="5" spans="1:2">
      <c r="A5" s="31" t="s">
        <v>522</v>
      </c>
      <c r="B5" s="102" t="s">
        <v>523</v>
      </c>
    </row>
    <row r="6" spans="1:2">
      <c r="A6" s="31" t="s">
        <v>524</v>
      </c>
      <c r="B6" s="102" t="s">
        <v>525</v>
      </c>
    </row>
    <row r="7" spans="1:2">
      <c r="A7" s="31" t="s">
        <v>526</v>
      </c>
      <c r="B7" s="102" t="s">
        <v>527</v>
      </c>
    </row>
    <row r="8" spans="1:2">
      <c r="A8" s="31" t="s">
        <v>528</v>
      </c>
      <c r="B8" s="102" t="s">
        <v>529</v>
      </c>
    </row>
    <row r="9" spans="1:2">
      <c r="A9" s="31"/>
      <c r="B9" t="s">
        <v>543</v>
      </c>
    </row>
    <row r="10" spans="1:2">
      <c r="A10" s="31" t="s">
        <v>530</v>
      </c>
      <c r="B10" s="102" t="s">
        <v>531</v>
      </c>
    </row>
    <row r="11" spans="1:2">
      <c r="A11" s="31"/>
      <c r="B11" s="102"/>
    </row>
    <row r="12" spans="1:2">
      <c r="A12" s="31" t="s">
        <v>532</v>
      </c>
      <c r="B12" s="102" t="s">
        <v>533</v>
      </c>
    </row>
    <row r="13" spans="1:2">
      <c r="A13" s="31"/>
      <c r="B13" s="102"/>
    </row>
    <row r="14" spans="1:2">
      <c r="A14" s="31" t="s">
        <v>534</v>
      </c>
      <c r="B14" s="102" t="s">
        <v>535</v>
      </c>
    </row>
    <row r="15" spans="1:2" ht="29">
      <c r="A15" s="31"/>
      <c r="B15" s="102" t="s">
        <v>536</v>
      </c>
    </row>
    <row r="16" spans="1:2">
      <c r="A16" s="31"/>
      <c r="B16" s="102" t="s">
        <v>537</v>
      </c>
    </row>
    <row r="17" spans="1:2" ht="29">
      <c r="A17" s="31"/>
      <c r="B17" s="102" t="s">
        <v>538</v>
      </c>
    </row>
    <row r="18" spans="1:2" ht="29">
      <c r="A18" s="31"/>
      <c r="B18" s="102" t="s">
        <v>539</v>
      </c>
    </row>
    <row r="19" spans="1:2" ht="29">
      <c r="A19" s="31"/>
      <c r="B19" s="102" t="s">
        <v>540</v>
      </c>
    </row>
    <row r="20" spans="1:2" ht="29">
      <c r="A20" s="31"/>
      <c r="B20" s="102" t="s">
        <v>541</v>
      </c>
    </row>
    <row r="21" spans="1:2">
      <c r="A21" s="31"/>
      <c r="B21" s="102" t="s">
        <v>542</v>
      </c>
    </row>
  </sheetData>
  <mergeCells count="1">
    <mergeCell ref="A1:B1"/>
  </mergeCell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4E289-3784-490F-9EEF-BF817BD00290}">
  <dimension ref="A1:B5"/>
  <sheetViews>
    <sheetView workbookViewId="0">
      <selection activeCell="A2" sqref="A2:B5"/>
    </sheetView>
  </sheetViews>
  <sheetFormatPr baseColWidth="10" defaultRowHeight="14.5"/>
  <cols>
    <col min="1" max="1" width="12.453125" bestFit="1" customWidth="1"/>
    <col min="2" max="2" width="18.7265625" bestFit="1" customWidth="1"/>
  </cols>
  <sheetData>
    <row r="1" spans="1:2">
      <c r="A1" t="s">
        <v>164</v>
      </c>
    </row>
    <row r="2" spans="1:2">
      <c r="A2" t="s">
        <v>851</v>
      </c>
      <c r="B2" t="s">
        <v>481</v>
      </c>
    </row>
    <row r="3" spans="1:2">
      <c r="A3" t="s">
        <v>852</v>
      </c>
      <c r="B3" t="s">
        <v>856</v>
      </c>
    </row>
    <row r="4" spans="1:2">
      <c r="A4" t="s">
        <v>853</v>
      </c>
      <c r="B4" t="s">
        <v>856</v>
      </c>
    </row>
    <row r="5" spans="1:2">
      <c r="A5" t="s">
        <v>854</v>
      </c>
      <c r="B5" t="s">
        <v>855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211FA-EE77-4081-9E1D-8523913D0DFF}">
  <sheetPr codeName="Hoja20">
    <tabColor theme="2" tint="-0.499984740745262"/>
    <pageSetUpPr autoPageBreaks="0"/>
  </sheetPr>
  <dimension ref="A1:H108"/>
  <sheetViews>
    <sheetView topLeftCell="A103" zoomScaleNormal="100" workbookViewId="0">
      <selection activeCell="D73" sqref="D73:D79"/>
    </sheetView>
  </sheetViews>
  <sheetFormatPr baseColWidth="10" defaultColWidth="11.453125" defaultRowHeight="14"/>
  <cols>
    <col min="1" max="1" width="34" style="254" customWidth="1"/>
    <col min="2" max="2" width="13.7265625" style="254" customWidth="1"/>
    <col min="3" max="3" width="3.453125" style="254" customWidth="1"/>
    <col min="4" max="4" width="26.26953125" style="254" customWidth="1"/>
    <col min="5" max="5" width="66.26953125" style="254" customWidth="1"/>
    <col min="6" max="6" width="11.81640625" style="253" customWidth="1"/>
    <col min="7" max="7" width="49.26953125" style="254" bestFit="1" customWidth="1"/>
    <col min="8" max="16384" width="11.453125" style="254"/>
  </cols>
  <sheetData>
    <row r="1" spans="1:7">
      <c r="A1" s="258" t="s">
        <v>717</v>
      </c>
      <c r="B1" s="249">
        <v>20230523</v>
      </c>
    </row>
    <row r="2" spans="1:7">
      <c r="A2" s="258" t="s">
        <v>723</v>
      </c>
      <c r="B2" s="249">
        <f>VLOOKUP(B1,'Fecha Juliana'!A:B,2,FALSE)</f>
        <v>23143</v>
      </c>
    </row>
    <row r="3" spans="1:7" ht="33" customHeight="1">
      <c r="F3" s="263" t="s">
        <v>740</v>
      </c>
    </row>
    <row r="4" spans="1:7" ht="14.25" customHeight="1">
      <c r="D4" s="445" t="s">
        <v>716</v>
      </c>
      <c r="E4" s="250" t="str">
        <f>"select * from ELECTRON/CEF0102C where DFHARC &gt;= "&amp;MID(B1,3,6)</f>
        <v>select * from ELECTRON/CEF0102C where DFHARC &gt;= 230523</v>
      </c>
      <c r="F4" s="249" t="s">
        <v>408</v>
      </c>
      <c r="G4" s="5" t="str">
        <f>IF(F4="SI","DELETE "&amp;MID(E4,15,50),"")</f>
        <v/>
      </c>
    </row>
    <row r="5" spans="1:7" ht="14.25" customHeight="1">
      <c r="A5" s="260" t="s">
        <v>720</v>
      </c>
      <c r="D5" s="446"/>
      <c r="E5" s="250" t="str">
        <f>"select * from ELECTRON/CEF0103C where DFHARC &gt;= "&amp;MID(B1,3,6)</f>
        <v>select * from ELECTRON/CEF0103C where DFHARC &gt;= 230523</v>
      </c>
      <c r="F5" s="249" t="s">
        <v>408</v>
      </c>
      <c r="G5" s="5" t="str">
        <f>IF(F5="SI","DELETE "&amp;MID(E5,15,50),"")</f>
        <v/>
      </c>
    </row>
    <row r="6" spans="1:7" ht="14.25" customHeight="1">
      <c r="A6" s="261" t="s">
        <v>721</v>
      </c>
      <c r="D6" s="446"/>
      <c r="E6" s="250" t="str">
        <f>"select * from ELECTRON/AEF0103C where DFHARC &gt;= "&amp;MID(B1,3,6)</f>
        <v>select * from ELECTRON/AEF0103C where DFHARC &gt;= 230523</v>
      </c>
      <c r="F6" s="249" t="s">
        <v>408</v>
      </c>
      <c r="G6" s="5" t="str">
        <f>IF(F6="SI","DELETE "&amp;MID(E6,15,50),"")</f>
        <v/>
      </c>
    </row>
    <row r="7" spans="1:7" ht="14.25" customHeight="1">
      <c r="D7" s="447"/>
      <c r="E7" s="250" t="str">
        <f>"select * from ELECTRON/AEF0105C where DFHARC &gt;= "&amp;MID(B1,3,6)</f>
        <v>select * from ELECTRON/AEF0105C where DFHARC &gt;= 230523</v>
      </c>
      <c r="F7" s="249" t="s">
        <v>408</v>
      </c>
      <c r="G7" s="5" t="str">
        <f>IF(F7="SI","DELETE "&amp;MID(E7,15,50),"")</f>
        <v/>
      </c>
    </row>
    <row r="9" spans="1:7" ht="45" customHeight="1">
      <c r="D9" s="440" t="s">
        <v>707</v>
      </c>
      <c r="E9" s="249" t="s">
        <v>718</v>
      </c>
    </row>
    <row r="10" spans="1:7">
      <c r="D10" s="440"/>
      <c r="E10" s="251"/>
      <c r="G10" s="257" t="s">
        <v>719</v>
      </c>
    </row>
    <row r="11" spans="1:7" ht="56">
      <c r="D11" s="440"/>
      <c r="E11" s="250" t="str">
        <f>"CPYF FROMFILE(ELECTRON/CEF0149H) TOFILE(BODEGATMP/F0149H_"&amp;(MID(B1,7,2)+1)&amp;") MBROPT(*REPLACE) CRTFILE(*YES) INCREL((*IF DFHAPL *EQ '"&amp;(B1+1)&amp;"')) FMTOPT(*NOCHK)"</f>
        <v>CPYF FROMFILE(ELECTRON/CEF0149H) TOFILE(BODEGATMP/F0149H_24) MBROPT(*REPLACE) CRTFILE(*YES) INCREL((*IF DFHAPL *EQ '20230524')) FMTOPT(*NOCHK)</v>
      </c>
      <c r="G11" s="249" t="str">
        <f>MID(E11,41,19)</f>
        <v>BODEGATMP/F0149H_24</v>
      </c>
    </row>
    <row r="12" spans="1:7">
      <c r="D12" s="440"/>
      <c r="E12" s="251"/>
    </row>
    <row r="13" spans="1:7" ht="28">
      <c r="D13" s="440"/>
      <c r="E13" s="250" t="str">
        <f>"UPDATE BODEGATMP/F0149H_"&amp;(MID(B1,7,2)+1)&amp;" SET DSTREG = ' ' where DFHAPL='"&amp;(B1+1)&amp;"'"</f>
        <v>UPDATE BODEGATMP/F0149H_24 SET DSTREG = ' ' where DFHAPL='20230524'</v>
      </c>
    </row>
    <row r="16" spans="1:7" ht="42">
      <c r="D16" s="441" t="s">
        <v>708</v>
      </c>
      <c r="E16" s="249" t="s">
        <v>709</v>
      </c>
    </row>
    <row r="17" spans="4:7">
      <c r="D17" s="441"/>
      <c r="E17" s="251"/>
      <c r="G17" s="257" t="s">
        <v>719</v>
      </c>
    </row>
    <row r="18" spans="4:7" ht="56">
      <c r="D18" s="441"/>
      <c r="E18" s="249" t="str">
        <f>"CPYF FROMFILE(CANJE/CAFWEBCM) TOFILE(BODEGATMP/FWEBCM_"&amp;(MID(B1,7,2)+1)&amp;") MBROPT(*REPLACE)  CRTFILE(*YES) INCREL((*IF DFHAPL *EQ '"&amp;(B1+1)&amp;"')) FMTOPT(*NOCHK)  "</f>
        <v xml:space="preserve">CPYF FROMFILE(CANJE/CAFWEBCM) TOFILE(BODEGATMP/FWEBCM_24) MBROPT(*REPLACE)  CRTFILE(*YES) INCREL((*IF DFHAPL *EQ '20230524')) FMTOPT(*NOCHK)  </v>
      </c>
      <c r="G18" s="249" t="str">
        <f>MID(E18,38,19)</f>
        <v>BODEGATMP/FWEBCM_24</v>
      </c>
    </row>
    <row r="19" spans="4:7">
      <c r="D19" s="441"/>
      <c r="E19" s="251"/>
    </row>
    <row r="20" spans="4:7" ht="28">
      <c r="D20" s="441"/>
      <c r="E20" s="250" t="str">
        <f>"UPDATE BODEGATMP/FWEBCM_"&amp;(MID(B1,7,2)+1)&amp;" SET DSTREG = ' ' where DFHAPL = '"&amp;(B1+1)&amp;"'"</f>
        <v>UPDATE BODEGATMP/FWEBCM_24 SET DSTREG = ' ' where DFHAPL = '20230524'</v>
      </c>
    </row>
    <row r="23" spans="4:7" ht="42">
      <c r="D23" s="442" t="s">
        <v>710</v>
      </c>
      <c r="E23" s="251" t="s">
        <v>722</v>
      </c>
    </row>
    <row r="24" spans="4:7">
      <c r="D24" s="443"/>
      <c r="E24" s="251"/>
      <c r="G24" s="257" t="s">
        <v>719</v>
      </c>
    </row>
    <row r="25" spans="4:7" ht="56">
      <c r="D25" s="443"/>
      <c r="E25" s="249" t="str">
        <f>"CPYF FROMFILE(ELECTRON/CEFWEBCE) TOFILE(BODEGATMP/FWEBCE_"&amp;(MID(B1,7,2)+1)&amp;") MBROPT(*REPLACE) CRTFILE(*YES) INCREL((*IF DFHAPL *EQ '"&amp;(B1+1)&amp;"')) FMTOPT(*NOCHK)"</f>
        <v>CPYF FROMFILE(ELECTRON/CEFWEBCE) TOFILE(BODEGATMP/FWEBCE_24) MBROPT(*REPLACE) CRTFILE(*YES) INCREL((*IF DFHAPL *EQ '20230524')) FMTOPT(*NOCHK)</v>
      </c>
      <c r="G25" s="249" t="str">
        <f>MID(E25,41,19)</f>
        <v>BODEGATMP/FWEBCE_24</v>
      </c>
    </row>
    <row r="26" spans="4:7">
      <c r="D26" s="443"/>
      <c r="E26" s="251"/>
    </row>
    <row r="27" spans="4:7" ht="28">
      <c r="D27" s="444"/>
      <c r="E27" s="249" t="str">
        <f>"UPDATE BODEGATMP/FWEBCE_"&amp;(MID(B1,7,2)+1)&amp;" SET DSTREG = ' ' where DFHAPL = '"&amp;(B1+1)&amp;"'"</f>
        <v>UPDATE BODEGATMP/FWEBCE_24 SET DSTREG = ' ' where DFHAPL = '20230524'</v>
      </c>
    </row>
    <row r="28" spans="4:7">
      <c r="D28" s="252"/>
      <c r="E28" s="253"/>
    </row>
    <row r="29" spans="4:7">
      <c r="E29" s="253"/>
      <c r="G29" s="257" t="s">
        <v>719</v>
      </c>
    </row>
    <row r="30" spans="4:7" ht="42">
      <c r="D30" s="255" t="s">
        <v>713</v>
      </c>
      <c r="E30" s="249" t="s">
        <v>711</v>
      </c>
      <c r="G30" s="249" t="str">
        <f>MID(E30,42,18)</f>
        <v>BODEGATMP/F0710ABK</v>
      </c>
    </row>
    <row r="31" spans="4:7">
      <c r="E31" s="253"/>
    </row>
    <row r="32" spans="4:7" ht="46.5">
      <c r="D32" s="256" t="s">
        <v>712</v>
      </c>
      <c r="E32" s="249" t="str">
        <f>"CPYF FROMFILE(BASEDOS/VDFCNTR0) TOFILE(BODEGATMP/FVDFCNTR0) MBROPT(*REPLACE) CRTFILE(*YES) INCREL((*IF DFHJUL *EQ "&amp;B2&amp;")) FMTOPT(*NOCHK)"</f>
        <v>CPYF FROMFILE(BASEDOS/VDFCNTR0) TOFILE(BODEGATMP/FVDFCNTR0) MBROPT(*REPLACE) CRTFILE(*YES) INCREL((*IF DFHJUL *EQ 23143)) FMTOPT(*NOCHK)</v>
      </c>
      <c r="G32" s="249" t="str">
        <f>MID(E32,40,19)</f>
        <v>BODEGATMP/FVDFCNTR0</v>
      </c>
    </row>
    <row r="33" spans="4:7">
      <c r="E33" s="253"/>
    </row>
    <row r="34" spans="4:7" ht="42">
      <c r="D34" s="255" t="s">
        <v>715</v>
      </c>
      <c r="E34" s="249" t="s">
        <v>714</v>
      </c>
      <c r="G34" s="249" t="str">
        <f>MID(E34,41,19)</f>
        <v>BODEGATMP/F_CEF500A</v>
      </c>
    </row>
    <row r="35" spans="4:7" ht="14.5">
      <c r="D35"/>
      <c r="E35" s="253"/>
      <c r="G35" s="253"/>
    </row>
    <row r="36" spans="4:7" ht="14.5">
      <c r="D36" s="435" t="s">
        <v>724</v>
      </c>
      <c r="E36" s="435"/>
      <c r="G36" s="253"/>
    </row>
    <row r="38" spans="4:7">
      <c r="D38" s="448"/>
      <c r="E38" s="251" t="str">
        <f>"SWITCH/PTLSV"&amp;MID(B1,5,4)&amp;"P"</f>
        <v>SWITCH/PTLSV0523P</v>
      </c>
    </row>
    <row r="39" spans="4:7">
      <c r="D39" s="448"/>
      <c r="E39" s="251" t="str">
        <f>"SWITCH/EA73"&amp;MID(B1,5,4)&amp;"P"</f>
        <v>SWITCH/EA730523P</v>
      </c>
    </row>
    <row r="40" spans="4:7">
      <c r="D40" s="448"/>
      <c r="E40" s="251" t="str">
        <f>"SWITCH/EA90"&amp;MID(B1,5,4)&amp;"P"</f>
        <v>SWITCH/EA900523P</v>
      </c>
    </row>
    <row r="41" spans="4:7">
      <c r="D41" s="448"/>
      <c r="E41" s="251" t="str">
        <f>"SWITCH/PTLFA"&amp;MID(B1,5,4)&amp;"P"</f>
        <v>SWITCH/PTLFA0523P</v>
      </c>
    </row>
    <row r="42" spans="4:7">
      <c r="D42" s="448"/>
      <c r="E42" s="251" t="str">
        <f>"SWITCH/EXIT"&amp;MID(B1,5,4)</f>
        <v>SWITCH/EXIT0523</v>
      </c>
    </row>
    <row r="43" spans="4:7">
      <c r="D43" s="448"/>
      <c r="E43" s="251" t="str">
        <f>"CANJE/CRL1"&amp;MID(B1,5,4)&amp;"P"</f>
        <v>CANJE/CRL10523P</v>
      </c>
    </row>
    <row r="44" spans="4:7">
      <c r="D44" s="448"/>
      <c r="E44" s="251" t="str">
        <f>"CANJE/CRL2"&amp;MID(B1,5,4)&amp;"P"</f>
        <v>CANJE/CRL20523P</v>
      </c>
    </row>
    <row r="45" spans="4:7">
      <c r="D45" s="448"/>
      <c r="E45" s="251" t="str">
        <f>"CANJE/CRLI"&amp;MID(B1,5,4)&amp;"P"</f>
        <v>CANJE/CRLI0523P</v>
      </c>
    </row>
    <row r="46" spans="4:7">
      <c r="D46" s="448"/>
      <c r="E46" s="251" t="str">
        <f>"ELECTRON/REAX"&amp;MID(B1,5,4)&amp;"P"</f>
        <v>ELECTRON/REAX0523P</v>
      </c>
    </row>
    <row r="47" spans="4:7">
      <c r="D47" s="448"/>
      <c r="E47" s="251" t="str">
        <f>"ELECTRON/EXAX"&amp;MID(B1,5,4)&amp;"P"</f>
        <v>ELECTRON/EXAX0523P</v>
      </c>
    </row>
    <row r="49" spans="4:6">
      <c r="D49" s="449"/>
      <c r="E49" s="251" t="str">
        <f>G11</f>
        <v>BODEGATMP/F0149H_24</v>
      </c>
    </row>
    <row r="50" spans="4:6">
      <c r="D50" s="449"/>
      <c r="E50" s="251" t="str">
        <f>G18</f>
        <v>BODEGATMP/FWEBCM_24</v>
      </c>
    </row>
    <row r="51" spans="4:6">
      <c r="D51" s="449"/>
      <c r="E51" s="251" t="str">
        <f>G25</f>
        <v>BODEGATMP/FWEBCE_24</v>
      </c>
    </row>
    <row r="52" spans="4:6">
      <c r="D52" s="449"/>
      <c r="E52" s="251" t="str">
        <f>G30</f>
        <v>BODEGATMP/F0710ABK</v>
      </c>
    </row>
    <row r="53" spans="4:6">
      <c r="D53" s="449"/>
      <c r="E53" s="251" t="str">
        <f>G32</f>
        <v>BODEGATMP/FVDFCNTR0</v>
      </c>
    </row>
    <row r="55" spans="4:6" ht="14.5">
      <c r="D55" s="435" t="s">
        <v>725</v>
      </c>
      <c r="E55" s="435"/>
    </row>
    <row r="57" spans="4:6" ht="46.5" customHeight="1">
      <c r="D57" s="445" t="s">
        <v>728</v>
      </c>
      <c r="E57" s="249" t="str">
        <f>"SELECT DFHAPL, DSTREG, COUNT(*) FROM ELECTRON/CEF0149H WHERE DFHAPL &gt;= "&amp;(B1+1)&amp;" GROUP BY DFHAPL, DSTREG ORDER BY DFHAPL, DSTREG"</f>
        <v>SELECT DFHAPL, DSTREG, COUNT(*) FROM ELECTRON/CEF0149H WHERE DFHAPL &gt;= 20230524 GROUP BY DFHAPL, DSTREG ORDER BY DFHAPL, DSTREG</v>
      </c>
    </row>
    <row r="58" spans="4:6" ht="14.25" customHeight="1">
      <c r="D58" s="446"/>
    </row>
    <row r="59" spans="4:6" ht="14.25" customHeight="1">
      <c r="D59" s="446"/>
      <c r="E59" s="262" t="s">
        <v>726</v>
      </c>
      <c r="F59" s="249" t="s">
        <v>408</v>
      </c>
    </row>
    <row r="60" spans="4:6" ht="14.25" customHeight="1">
      <c r="D60" s="446"/>
    </row>
    <row r="61" spans="4:6">
      <c r="D61" s="446"/>
      <c r="E61" s="251" t="str">
        <f>IF(F59="SI","DELETE FROM ELECTRON/CEF0149H WHERE DFHAPL &gt;= "&amp;B1,"")</f>
        <v/>
      </c>
    </row>
    <row r="62" spans="4:6" ht="14.25" customHeight="1">
      <c r="D62" s="446"/>
    </row>
    <row r="63" spans="4:6" ht="42">
      <c r="D63" s="446"/>
      <c r="E63" s="250" t="str">
        <f>"CPYF FROMFILE("&amp;G11&amp;") TOFILE(ELECTRON/CEF0149H) MBROPT(*ADD) CRTFILE(*YES) FMTOPT(*NOCHK)"</f>
        <v>CPYF FROMFILE(BODEGATMP/F0149H_24) TOFILE(ELECTRON/CEF0149H) MBROPT(*ADD) CRTFILE(*YES) FMTOPT(*NOCHK)</v>
      </c>
    </row>
    <row r="65" spans="4:6" ht="42">
      <c r="D65" s="445" t="s">
        <v>727</v>
      </c>
      <c r="E65" s="249" t="str">
        <f>"SELECT DFHAPL, DSTREG, COUNT(*) FROM CANJE/CAFWEBCM WHERE DFHAPL &gt;= "&amp;(B9+1)&amp;" GROUP BY DFHAPL, DSTREG ORDER BY DFHAPL, DSTREG"</f>
        <v>SELECT DFHAPL, DSTREG, COUNT(*) FROM CANJE/CAFWEBCM WHERE DFHAPL &gt;= 1 GROUP BY DFHAPL, DSTREG ORDER BY DFHAPL, DSTREG</v>
      </c>
    </row>
    <row r="66" spans="4:6">
      <c r="D66" s="446"/>
    </row>
    <row r="67" spans="4:6">
      <c r="D67" s="446"/>
      <c r="E67" s="262" t="s">
        <v>726</v>
      </c>
      <c r="F67" s="249" t="s">
        <v>408</v>
      </c>
    </row>
    <row r="68" spans="4:6">
      <c r="D68" s="446"/>
    </row>
    <row r="69" spans="4:6" ht="32.25" customHeight="1">
      <c r="D69" s="446"/>
      <c r="E69" s="259" t="str">
        <f>IF(F67="SI","DELETE FROM CANJE/CAFWEBCM WHERE DFHAPL &gt;= "&amp;B1,"")</f>
        <v/>
      </c>
    </row>
    <row r="70" spans="4:6">
      <c r="D70" s="446"/>
    </row>
    <row r="71" spans="4:6" ht="75" customHeight="1">
      <c r="D71" s="446"/>
      <c r="E71" s="249" t="str">
        <f>"CPYF FROMFILE("&amp;G18&amp;") TOFILE(CANJE/CAFWEBCM MBROPT(*ADD) CRTFILE(*YES) FMTOPT(*NOCHK)"</f>
        <v>CPYF FROMFILE(BODEGATMP/FWEBCM_24) TOFILE(CANJE/CAFWEBCM MBROPT(*ADD) CRTFILE(*YES) FMTOPT(*NOCHK)</v>
      </c>
    </row>
    <row r="73" spans="4:6" ht="42">
      <c r="D73" s="445" t="s">
        <v>729</v>
      </c>
      <c r="E73" s="249" t="str">
        <f>"SELECT DFHAPL, DSTREG, COUNT(*) FROM ELECTRON/CEFWEBCE WHERE DFHAPL &gt;= "&amp;(B17+1)&amp;" GROUP BY DFHAPL, DSTREG ORDER BY DFHAPL, DSTREG"</f>
        <v>SELECT DFHAPL, DSTREG, COUNT(*) FROM ELECTRON/CEFWEBCE WHERE DFHAPL &gt;= 1 GROUP BY DFHAPL, DSTREG ORDER BY DFHAPL, DSTREG</v>
      </c>
    </row>
    <row r="74" spans="4:6">
      <c r="D74" s="446"/>
    </row>
    <row r="75" spans="4:6">
      <c r="D75" s="446"/>
      <c r="E75" s="262" t="s">
        <v>726</v>
      </c>
      <c r="F75" s="249" t="s">
        <v>408</v>
      </c>
    </row>
    <row r="76" spans="4:6">
      <c r="D76" s="446"/>
    </row>
    <row r="77" spans="4:6" ht="24.75" customHeight="1">
      <c r="D77" s="446"/>
      <c r="E77" s="259" t="str">
        <f>IF(F75="SI","DELETE FROM CANJE/CAFWEBCM WHERE DFHAPL &gt;= "&amp;B1,"")</f>
        <v/>
      </c>
    </row>
    <row r="78" spans="4:6">
      <c r="D78" s="446"/>
    </row>
    <row r="79" spans="4:6" ht="42">
      <c r="D79" s="446"/>
      <c r="E79" s="249" t="str">
        <f>"CPYF FROMFILE("&amp;G25&amp;") TOFILE(ELECTRON/CEFWEBCE  MBROPT(*ADD) CRTFILE(*YES) FMTOPT(*NOCHK)"</f>
        <v>CPYF FROMFILE(BODEGATMP/FWEBCE_24) TOFILE(ELECTRON/CEFWEBCE  MBROPT(*ADD) CRTFILE(*YES) FMTOPT(*NOCHK)</v>
      </c>
    </row>
    <row r="82" spans="4:8" ht="31">
      <c r="D82" s="263" t="s">
        <v>731</v>
      </c>
      <c r="E82" s="264" t="s">
        <v>730</v>
      </c>
    </row>
    <row r="83" spans="4:8" ht="14.25" customHeight="1">
      <c r="D83" s="78"/>
      <c r="E83" s="253"/>
    </row>
    <row r="84" spans="4:8" ht="51.75" customHeight="1">
      <c r="D84" s="263" t="s">
        <v>732</v>
      </c>
      <c r="E84" s="249" t="s">
        <v>733</v>
      </c>
    </row>
    <row r="85" spans="4:8" customFormat="1" ht="14.5"/>
    <row r="86" spans="4:8" customFormat="1" ht="14.5">
      <c r="D86" s="435" t="s">
        <v>741</v>
      </c>
      <c r="E86" s="435"/>
    </row>
    <row r="87" spans="4:8" ht="14.25" customHeight="1">
      <c r="D87"/>
      <c r="G87" s="439" t="s">
        <v>742</v>
      </c>
      <c r="H87" s="439"/>
    </row>
    <row r="88" spans="4:8" ht="62.25" customHeight="1">
      <c r="D88" s="263" t="s">
        <v>735</v>
      </c>
      <c r="E88" s="249" t="s">
        <v>734</v>
      </c>
      <c r="F88" s="249" t="s">
        <v>407</v>
      </c>
      <c r="G88" s="438" t="s">
        <v>746</v>
      </c>
      <c r="H88" s="438"/>
    </row>
    <row r="89" spans="4:8" ht="14.25" customHeight="1">
      <c r="D89"/>
    </row>
    <row r="90" spans="4:8" ht="42" customHeight="1">
      <c r="D90" s="263" t="s">
        <v>736</v>
      </c>
      <c r="E90" s="249" t="str">
        <f>IF(F88="SI","Nombre el archivo:
PEPTAS0101","")</f>
        <v>Nombre el archivo:
PEPTAS0101</v>
      </c>
    </row>
    <row r="92" spans="4:8" ht="28">
      <c r="D92" s="263" t="s">
        <v>737</v>
      </c>
      <c r="E92" s="249" t="str">
        <f>IF(F88="SI","CLRPFM FILE(BODEGATMP/EPTATXTSP)","")</f>
        <v>CLRPFM FILE(BODEGATMP/EPTATXTSP)</v>
      </c>
    </row>
    <row r="94" spans="4:8" ht="42">
      <c r="D94" s="263" t="s">
        <v>738</v>
      </c>
      <c r="E94" s="249" t="str">
        <f>IF(F88="SI","CPYF FROMFILE(BODEGATMPS/EPTATXTSP) TOFILE(SWITCH/PTLSV"&amp;MID(B1,5,4)&amp;") MBROPT(*REPLACE) FMTOPT(*NOCHK)","")</f>
        <v>CPYF FROMFILE(BODEGATMPS/EPTATXTSP) TOFILE(SWITCH/PTLSV0523) MBROPT(*REPLACE) FMTOPT(*NOCHK)</v>
      </c>
    </row>
    <row r="96" spans="4:8">
      <c r="D96" s="263" t="s">
        <v>739</v>
      </c>
      <c r="E96" s="249" t="str">
        <f>IF(F88="si","DELETE  SWITCH.PTLSV0523 WHERE PTLF_DET LIKE 'DT0000%'","")</f>
        <v>DELETE  SWITCH.PTLSV0523 WHERE PTLF_DET LIKE 'DT0000%'</v>
      </c>
    </row>
    <row r="98" spans="4:7" ht="14.5">
      <c r="D98" s="435" t="s">
        <v>744</v>
      </c>
      <c r="E98" s="435"/>
    </row>
    <row r="99" spans="4:7">
      <c r="F99" s="439" t="s">
        <v>742</v>
      </c>
      <c r="G99" s="439"/>
    </row>
    <row r="100" spans="4:7" ht="15.5">
      <c r="D100" s="436" t="s">
        <v>743</v>
      </c>
      <c r="E100" s="228" t="str">
        <f>"RP"&amp;MID(B1,5,4)</f>
        <v>RP0523</v>
      </c>
      <c r="F100" s="437" t="s">
        <v>745</v>
      </c>
      <c r="G100" s="437"/>
    </row>
    <row r="101" spans="4:7" ht="15.5">
      <c r="D101" s="436"/>
      <c r="E101" s="228" t="str">
        <f>"EXIT"&amp;MID(B1,5,4)</f>
        <v>EXIT0523</v>
      </c>
      <c r="F101" s="438" t="s">
        <v>746</v>
      </c>
      <c r="G101" s="438"/>
    </row>
    <row r="102" spans="4:7" ht="15.5">
      <c r="D102" s="436"/>
      <c r="E102" s="228" t="str">
        <f>"EASV1"&amp;MID(B1,5,4)</f>
        <v>EASV10523</v>
      </c>
      <c r="F102" s="438" t="s">
        <v>746</v>
      </c>
      <c r="G102" s="438"/>
    </row>
    <row r="103" spans="4:7" ht="15.5">
      <c r="D103" s="436"/>
      <c r="E103" s="228" t="str">
        <f>"PEPTAS"&amp;MID(B1,5,4)</f>
        <v>PEPTAS0523</v>
      </c>
      <c r="F103" s="438" t="s">
        <v>746</v>
      </c>
      <c r="G103" s="438"/>
    </row>
    <row r="104" spans="4:7" ht="15.5">
      <c r="D104" s="436"/>
      <c r="E104" s="228" t="str">
        <f>"PREAS"&amp;MID(B1,5,4)</f>
        <v>PREAS0523</v>
      </c>
      <c r="F104" s="438" t="s">
        <v>746</v>
      </c>
      <c r="G104" s="438"/>
    </row>
    <row r="105" spans="4:7" ht="15.5">
      <c r="D105" s="436"/>
      <c r="E105" s="228" t="str">
        <f>"PEXAS"&amp;MID(B1,5,4)</f>
        <v>PEXAS0523</v>
      </c>
      <c r="F105" s="438" t="s">
        <v>746</v>
      </c>
      <c r="G105" s="438"/>
    </row>
    <row r="106" spans="4:7" ht="15.5">
      <c r="D106" s="436"/>
      <c r="E106" s="228" t="str">
        <f>"CRLS1"&amp;MID(B1,5,4)</f>
        <v>CRLS10523</v>
      </c>
      <c r="F106" s="438" t="s">
        <v>746</v>
      </c>
      <c r="G106" s="438"/>
    </row>
    <row r="107" spans="4:7" ht="15.5">
      <c r="D107" s="436"/>
      <c r="E107" s="228" t="str">
        <f>"CRLS2"&amp;MID(B1,5,4)</f>
        <v>CRLS20523</v>
      </c>
      <c r="F107" s="438" t="s">
        <v>746</v>
      </c>
      <c r="G107" s="438"/>
    </row>
    <row r="108" spans="4:7" ht="15.5">
      <c r="D108" s="436"/>
      <c r="E108" s="228" t="str">
        <f>"CWSETTLEMENTAX"&amp;MID(B1,5,4)</f>
        <v>CWSETTLEMENTAX0523</v>
      </c>
      <c r="F108" s="438" t="s">
        <v>746</v>
      </c>
      <c r="G108" s="438"/>
    </row>
  </sheetData>
  <mergeCells count="26">
    <mergeCell ref="D65:D71"/>
    <mergeCell ref="D73:D79"/>
    <mergeCell ref="D49:D53"/>
    <mergeCell ref="D36:E36"/>
    <mergeCell ref="D55:E55"/>
    <mergeCell ref="D57:D63"/>
    <mergeCell ref="D9:D13"/>
    <mergeCell ref="D16:D20"/>
    <mergeCell ref="D23:D27"/>
    <mergeCell ref="D4:D7"/>
    <mergeCell ref="D38:D47"/>
    <mergeCell ref="D98:E98"/>
    <mergeCell ref="D100:D108"/>
    <mergeCell ref="D86:E86"/>
    <mergeCell ref="F100:G100"/>
    <mergeCell ref="F101:G101"/>
    <mergeCell ref="F102:G102"/>
    <mergeCell ref="F103:G103"/>
    <mergeCell ref="F104:G104"/>
    <mergeCell ref="F105:G105"/>
    <mergeCell ref="F106:G106"/>
    <mergeCell ref="F107:G107"/>
    <mergeCell ref="F108:G108"/>
    <mergeCell ref="F99:G99"/>
    <mergeCell ref="G88:H88"/>
    <mergeCell ref="G87:H87"/>
  </mergeCells>
  <dataValidations count="1">
    <dataValidation type="list" allowBlank="1" showInputMessage="1" showErrorMessage="1" sqref="F59 F67 F75 F88 F4:F7" xr:uid="{942079BA-8415-4203-A8A5-6D3D1496A627}">
      <formula1>"SI,NO"</formula1>
    </dataValidation>
  </dataValidation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24EA8-E528-4CEC-AF30-C7258C4186D0}">
  <sheetPr codeName="Hoja15"/>
  <dimension ref="A1:I11"/>
  <sheetViews>
    <sheetView topLeftCell="A8" zoomScale="98" zoomScaleNormal="98" workbookViewId="0">
      <selection activeCell="E8" sqref="E8"/>
    </sheetView>
  </sheetViews>
  <sheetFormatPr baseColWidth="10" defaultRowHeight="14.5"/>
  <cols>
    <col min="1" max="1" width="10.54296875" bestFit="1" customWidth="1"/>
    <col min="2" max="2" width="12.54296875" bestFit="1" customWidth="1"/>
    <col min="5" max="5" width="87.7265625" customWidth="1"/>
    <col min="8" max="8" width="79.453125" customWidth="1"/>
    <col min="9" max="9" width="69.453125" customWidth="1"/>
  </cols>
  <sheetData>
    <row r="1" spans="1:9">
      <c r="A1" s="17" t="s">
        <v>108</v>
      </c>
      <c r="B1" s="7" t="str">
        <f ca="1">TEXT(TODAY(),"YYYYMMDD")</f>
        <v>20230831</v>
      </c>
    </row>
    <row r="2" spans="1:9" ht="117.75" customHeight="1">
      <c r="E2" s="53" t="s">
        <v>374</v>
      </c>
    </row>
    <row r="3" spans="1:9">
      <c r="E3" s="15"/>
    </row>
    <row r="4" spans="1:9" ht="71.25" customHeight="1">
      <c r="E4" s="53" t="s">
        <v>372</v>
      </c>
      <c r="G4" s="61">
        <v>7329</v>
      </c>
      <c r="H4" s="61">
        <v>5393</v>
      </c>
    </row>
    <row r="6" spans="1:9" ht="245.25" customHeight="1">
      <c r="E6" s="53" t="str">
        <f ca="1">CONCATENATE(" select count(*) from (","
select b.* from BASEDOS.baf_ptlf a join ELECTRON.cef0882i b
on substr(char(DUTRNO ), 1, 18 ) = substr(DFL20A, 3, 18 )             
and DCODAU = drefer
and dcdtar = substr(dtarje, 5, 16 )            
WHERE F82ISTSPR = 'E' and F82IFECPR = ",B1,"
and dutrno   
not in (                                                
SELECT Dutrno FROM BASEDOS.baf_ptlf a join ELECTRON.cef0882i
on substr(char(DUTRNO), 1, 18 ) = substr(DFL20A, 3, 18 )","
and DCODAU = drefer
and dcdtar = substr(dtarje, 5, 16 )
WHERE F82ISTSPR = 'E'
and F82IFECPR =  ",B1,"
and DCDMSG = '0420' )  
order by A.DHOTRA )")</f>
        <v xml:space="preserve"> select count(*) from (
select b.* from BASEDOS.baf_ptlf a join ELECTRON.cef0882i b
on substr(char(DUTRNO ), 1, 18 ) = substr(DFL20A, 3, 18 )             
and DCODAU = drefer
and dcdtar = substr(dtarje, 5, 16 )            
WHERE F82ISTSPR = 'E' and F82IFECPR = 20230831
and dutrno   
not in (                                                
SELECT Dutrno FROM BASEDOS.baf_ptlf a join ELECTRON.cef0882i
on substr(char(DUTRNO), 1, 18 ) = substr(DFL20A, 3, 18 )
and DCODAU = drefer
and dcdtar = substr(dtarje, 5, 16 )
WHERE F82ISTSPR = 'E'
and F82IFECPR =  20230831
and DCDMSG = '0420' )  
order by A.DHOTRA )</v>
      </c>
      <c r="G6" s="61">
        <v>7103</v>
      </c>
      <c r="H6" s="82"/>
      <c r="I6" s="15"/>
    </row>
    <row r="7" spans="1:9">
      <c r="E7" s="53"/>
      <c r="H7" s="15"/>
      <c r="I7" s="15"/>
    </row>
    <row r="8" spans="1:9" ht="248.25" customHeight="1">
      <c r="E8" s="53" t="str">
        <f ca="1">CONCATENATE("select b.* from BASEDOS.baf_ptlf a join ELECTRON.cef0882i b
on substr(char(DUTRNO ), 1, 18 ) = substr(DFL20A, 3, 18 )             
and DCODAU = drefer
and dcdtar = substr(dtarje, 5, 16 )            
WHERE F82ISTSPR = 'E' and F82IFECPR = ",B1,"
and dutrno   
not in (                                                
SELECT Dutrno FROM BASEDOS.baf_ptlf a join ELECTRON.cef0882i
on substr(char(DUTRNO), 1, 18 ) = substr(DFL20A, 3, 18 )","
and DCODAU = drefer
and dcdtar = substr(dtarje, 5, 16 )
WHERE F82ISTSPR = 'E'
and F82IFECPR =  ",B1,"
and DCDMSG = '0420' )  
order by A.DHOTRA")</f>
        <v>select b.* from BASEDOS.baf_ptlf a join ELECTRON.cef0882i b
on substr(char(DUTRNO ), 1, 18 ) = substr(DFL20A, 3, 18 )             
and DCODAU = drefer
and dcdtar = substr(dtarje, 5, 16 )            
WHERE F82ISTSPR = 'E' and F82IFECPR = 20230831
and dutrno   
not in (                                                
SELECT Dutrno FROM BASEDOS.baf_ptlf a join ELECTRON.cef0882i
on substr(char(DUTRNO), 1, 18 ) = substr(DFL20A, 3, 18 )
and DCODAU = drefer
and dcdtar = substr(dtarje, 5, 16 )
WHERE F82ISTSPR = 'E'
and F82IFECPR =  20230831
and DCDMSG = '0420' )  
order by A.DHOTRA</v>
      </c>
      <c r="G8" t="s">
        <v>375</v>
      </c>
      <c r="H8" t="s">
        <v>162</v>
      </c>
    </row>
    <row r="9" spans="1:9">
      <c r="E9" s="53"/>
    </row>
    <row r="10" spans="1:9">
      <c r="E10" t="s">
        <v>373</v>
      </c>
      <c r="G10" s="61">
        <v>7103</v>
      </c>
      <c r="H10" s="61">
        <v>82</v>
      </c>
    </row>
    <row r="11" spans="1:9">
      <c r="A11" s="70"/>
      <c r="B11" s="70"/>
      <c r="H11" s="61">
        <v>7185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22</vt:i4>
      </vt:variant>
      <vt:variant>
        <vt:lpstr>Rangos con nombre</vt:lpstr>
      </vt:variant>
      <vt:variant>
        <vt:i4>1</vt:i4>
      </vt:variant>
    </vt:vector>
  </HeadingPairs>
  <TitlesOfParts>
    <vt:vector size="23" baseType="lpstr">
      <vt:lpstr>Bancos y listas</vt:lpstr>
      <vt:lpstr>Pruebas Est</vt:lpstr>
      <vt:lpstr>Pruebas Ing Simulado</vt:lpstr>
      <vt:lpstr>Prueba Ing BIN 42</vt:lpstr>
      <vt:lpstr>BAIO</vt:lpstr>
      <vt:lpstr>Incoming Asociados 45</vt:lpstr>
      <vt:lpstr>OUTGOING</vt:lpstr>
      <vt:lpstr>Prueba Simulador Amex</vt:lpstr>
      <vt:lpstr>VALIDAR PASOS A PRODUCCION</vt:lpstr>
      <vt:lpstr>Transferencia de archivos</vt:lpstr>
      <vt:lpstr>Pruebas de Interoperabilidad</vt:lpstr>
      <vt:lpstr>Fecha Juliana</vt:lpstr>
      <vt:lpstr>Tablas</vt:lpstr>
      <vt:lpstr>ADECUACION IMPLEMENT</vt:lpstr>
      <vt:lpstr>HORAS EXTRAS</vt:lpstr>
      <vt:lpstr>CREACION DE BINES</vt:lpstr>
      <vt:lpstr>ERRORES REPORTADOS SOP</vt:lpstr>
      <vt:lpstr>Actividades Diarias</vt:lpstr>
      <vt:lpstr>PROCESO INTEGRACION DE EPTASP</vt:lpstr>
      <vt:lpstr>Hoja1</vt:lpstr>
      <vt:lpstr>PARALELO CONTG.</vt:lpstr>
      <vt:lpstr>Normalizacion TXS AMEX</vt:lpstr>
      <vt:lpstr>NOMBRE_BANCO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NESTOR ANDRES GARNICA SAENZ</dc:creator>
  <cp:lastModifiedBy>LUZ ADRIANA MORENO CARDOZO</cp:lastModifiedBy>
  <dcterms:created xsi:type="dcterms:W3CDTF">2022-09-27T12:59:00Z</dcterms:created>
  <dcterms:modified xsi:type="dcterms:W3CDTF">2023-08-31T16:19:56Z</dcterms:modified>
</cp:coreProperties>
</file>